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9fbc38b96c9f161/"/>
    </mc:Choice>
  </mc:AlternateContent>
  <xr:revisionPtr revIDLastSave="1879" documentId="8_{328C6CC8-EE6A-4D52-99CC-FF4188451B81}" xr6:coauthVersionLast="47" xr6:coauthVersionMax="47" xr10:uidLastSave="{2FDA3F6A-1B1C-488C-B3B4-7A192EF6A2B8}"/>
  <bookViews>
    <workbookView xWindow="-120" yWindow="-120" windowWidth="29040" windowHeight="15720" activeTab="2" xr2:uid="{00000000-000D-0000-FFFF-FFFF00000000}"/>
  </bookViews>
  <sheets>
    <sheet name="Data &amp; Chart" sheetId="1" r:id="rId1"/>
    <sheet name="Scope &amp; Enviornment" sheetId="2" r:id="rId2"/>
    <sheet name="Execution Summary" sheetId="3" r:id="rId3"/>
    <sheet name="Temp" sheetId="49" r:id="rId4"/>
  </sheets>
  <definedNames>
    <definedName name="_xlnm._FilterDatabase" localSheetId="2" hidden="1">'Execution Summary'!$A$3:$R$3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5" i="1" l="1"/>
  <c r="E105" i="1"/>
  <c r="D105" i="1"/>
  <c r="J90" i="1" l="1"/>
  <c r="E75" i="1" l="1"/>
  <c r="D75" i="1"/>
  <c r="G90" i="1"/>
  <c r="H90" i="1"/>
  <c r="I90" i="1"/>
  <c r="E90" i="1"/>
  <c r="D90" i="1"/>
  <c r="F90" i="1"/>
  <c r="D60" i="1"/>
  <c r="F60" i="1"/>
  <c r="G60" i="1"/>
  <c r="E60" i="1"/>
</calcChain>
</file>

<file path=xl/sharedStrings.xml><?xml version="1.0" encoding="utf-8"?>
<sst xmlns="http://schemas.openxmlformats.org/spreadsheetml/2006/main" count="325" uniqueCount="157">
  <si>
    <t>WCAG Rule Wise Defect Distribution Chart</t>
  </si>
  <si>
    <t>WCAG</t>
  </si>
  <si>
    <t>WCAG SC</t>
  </si>
  <si>
    <t>No of occurence</t>
  </si>
  <si>
    <t>1.1.1</t>
  </si>
  <si>
    <t>1.1.1 Non Text Content</t>
  </si>
  <si>
    <t>1.2.1</t>
  </si>
  <si>
    <t>1.2.1 Audio-only and Video-only (Prerecorded)</t>
  </si>
  <si>
    <t>1.2.2</t>
  </si>
  <si>
    <t>1.2.2 Captions</t>
  </si>
  <si>
    <t>1.2.3</t>
  </si>
  <si>
    <t>1.2.3 Audio Descriptions and Media Alternative (Prerecorded)</t>
  </si>
  <si>
    <t>1.2.4</t>
  </si>
  <si>
    <t>1.2.4 Captions (Live)</t>
  </si>
  <si>
    <t>1.2.5</t>
  </si>
  <si>
    <t>1.2.5 Audio Description (Prerecorded)</t>
  </si>
  <si>
    <t>1.3.1</t>
  </si>
  <si>
    <t>1.3.1 Info and Relationship</t>
  </si>
  <si>
    <t>1.3.2</t>
  </si>
  <si>
    <t>1.3.2 Meaningful Sequence</t>
  </si>
  <si>
    <t>1.3.3</t>
  </si>
  <si>
    <t>1.3.3 Sensory Characteristics</t>
  </si>
  <si>
    <t>1.3.4</t>
  </si>
  <si>
    <t>1.3.4 Orientation</t>
  </si>
  <si>
    <t>1.3.5</t>
  </si>
  <si>
    <t>1.3.5 Identify Input Purpose</t>
  </si>
  <si>
    <t>1.4.1</t>
  </si>
  <si>
    <t>1.4.1 Use of Color</t>
  </si>
  <si>
    <t>1.4.2</t>
  </si>
  <si>
    <t>1.4.2 Audio Control</t>
  </si>
  <si>
    <t>1.4.3</t>
  </si>
  <si>
    <t>1.4.3 Contrast (Minimum)</t>
  </si>
  <si>
    <t>1.4.4</t>
  </si>
  <si>
    <t>1.4.4 Resize Text</t>
  </si>
  <si>
    <t>1.4.5</t>
  </si>
  <si>
    <t>1.4.5 Image of Text</t>
  </si>
  <si>
    <t>1.4.10</t>
  </si>
  <si>
    <t>1.4.10 Reflow</t>
  </si>
  <si>
    <t>1.4.11</t>
  </si>
  <si>
    <t>1.4.11 Non Text Contrast</t>
  </si>
  <si>
    <t>1.4.12</t>
  </si>
  <si>
    <t>1.4.12 Text Spacing</t>
  </si>
  <si>
    <t>1.4.13</t>
  </si>
  <si>
    <t>1.4.13 Content on Hover or Focus</t>
  </si>
  <si>
    <t>2.1.1</t>
  </si>
  <si>
    <t>2.1.1 Keyboard</t>
  </si>
  <si>
    <t>2.1.2</t>
  </si>
  <si>
    <t>2.1.2 No Keyboard Trap</t>
  </si>
  <si>
    <t>2.1.4</t>
  </si>
  <si>
    <t>2.1.4 Character Key Shortcut</t>
  </si>
  <si>
    <t>2.2.1</t>
  </si>
  <si>
    <t>2.2.1 Timing Adjustable</t>
  </si>
  <si>
    <t>2.2.2</t>
  </si>
  <si>
    <t>2.2.2 Pause, Stop, Hide</t>
  </si>
  <si>
    <t>2.3.1</t>
  </si>
  <si>
    <t>2.3.1 Three Flashes or Below Threshold</t>
  </si>
  <si>
    <t>2.4.1</t>
  </si>
  <si>
    <t>2.4.1 Bypass Block</t>
  </si>
  <si>
    <t>2.4.2</t>
  </si>
  <si>
    <t>2.4.2 Page Titled</t>
  </si>
  <si>
    <t>2.4.3</t>
  </si>
  <si>
    <t>2.4.3 Focus Order</t>
  </si>
  <si>
    <t>2.4.4</t>
  </si>
  <si>
    <t>2.4.4 Link Purpose (In Context)</t>
  </si>
  <si>
    <t>2.4.5</t>
  </si>
  <si>
    <t>2.4.5 Multiple Ways</t>
  </si>
  <si>
    <t>2.4.6</t>
  </si>
  <si>
    <t>2.4.6 Headings and Labels</t>
  </si>
  <si>
    <t>2.4.7</t>
  </si>
  <si>
    <t>2.4.7 Focus Visible</t>
  </si>
  <si>
    <t>2.5.1</t>
  </si>
  <si>
    <t>2.5.1 Pointer Gestures</t>
  </si>
  <si>
    <t>2.5.2</t>
  </si>
  <si>
    <t>2.5.2 Pointer Cancellation</t>
  </si>
  <si>
    <t>2.5.3</t>
  </si>
  <si>
    <t>2.5.3 Label in Name</t>
  </si>
  <si>
    <t>2.5.4</t>
  </si>
  <si>
    <t>2.5.4 Motion Actuation</t>
  </si>
  <si>
    <t>3.1.1</t>
  </si>
  <si>
    <t>3.1.1 Language of Page</t>
  </si>
  <si>
    <t>3.1.2</t>
  </si>
  <si>
    <t>3.1.2 Language of Parts</t>
  </si>
  <si>
    <t>3.2.1</t>
  </si>
  <si>
    <t>3.2.1 On Focus</t>
  </si>
  <si>
    <t>3.2.2</t>
  </si>
  <si>
    <t>3.2.2 On Input</t>
  </si>
  <si>
    <t>3.2.3</t>
  </si>
  <si>
    <t>3.2.3 Consistent Navigation</t>
  </si>
  <si>
    <t>3.2.4</t>
  </si>
  <si>
    <t>3.2.4 Consistent Identification</t>
  </si>
  <si>
    <t>3.3.1</t>
  </si>
  <si>
    <t>3.3.1 Error Identification</t>
  </si>
  <si>
    <t>3.3.2</t>
  </si>
  <si>
    <t>3.3.2 Label or Instructions</t>
  </si>
  <si>
    <t>3.3.3</t>
  </si>
  <si>
    <t>3.3.3 Error Suggestion</t>
  </si>
  <si>
    <t>3.3.4</t>
  </si>
  <si>
    <t>3.3.4 Error Prevention (Legal, Financial, Data)</t>
  </si>
  <si>
    <t>4.1.1</t>
  </si>
  <si>
    <t>4.1.1 Parsing</t>
  </si>
  <si>
    <t>4.1.2</t>
  </si>
  <si>
    <t>4.1.2 Name, Role, Value</t>
  </si>
  <si>
    <t>4.1.3</t>
  </si>
  <si>
    <t>4.1.3 Status Message</t>
  </si>
  <si>
    <t>Severity/Impact Wise Defect Distribution</t>
  </si>
  <si>
    <t>Critical</t>
  </si>
  <si>
    <t>High</t>
  </si>
  <si>
    <t>Medium</t>
  </si>
  <si>
    <t>Low</t>
  </si>
  <si>
    <t>Defect count</t>
  </si>
  <si>
    <t>Conformance Level Wise Defect Distribution</t>
  </si>
  <si>
    <t>Conformance Level</t>
  </si>
  <si>
    <t>A</t>
  </si>
  <si>
    <t>AA</t>
  </si>
  <si>
    <t>Keyboard Navigation</t>
  </si>
  <si>
    <t>Color Contrast</t>
  </si>
  <si>
    <t>Color</t>
  </si>
  <si>
    <t>Zoom</t>
  </si>
  <si>
    <t>HTML Validator</t>
  </si>
  <si>
    <t>Screen Reader</t>
  </si>
  <si>
    <t>Other A11y</t>
  </si>
  <si>
    <t>Result</t>
  </si>
  <si>
    <t>Fail</t>
  </si>
  <si>
    <t>Pass</t>
  </si>
  <si>
    <t>N/A</t>
  </si>
  <si>
    <t>Review</t>
  </si>
  <si>
    <t>Environment</t>
  </si>
  <si>
    <t>Scope</t>
  </si>
  <si>
    <t>Pages / Flows</t>
  </si>
  <si>
    <t>Execution Status</t>
  </si>
  <si>
    <t>Conformance Level Wise Distribution</t>
  </si>
  <si>
    <t>Accessibility Issue Type Distribution</t>
  </si>
  <si>
    <t>Imace Wise Distribution</t>
  </si>
  <si>
    <t>Window</t>
  </si>
  <si>
    <t>macOS</t>
  </si>
  <si>
    <t>Android</t>
  </si>
  <si>
    <t>iOS</t>
  </si>
  <si>
    <t>Level A</t>
  </si>
  <si>
    <t>Level AA</t>
  </si>
  <si>
    <t>S.No.</t>
  </si>
  <si>
    <t>Title</t>
  </si>
  <si>
    <t>Repro Steps</t>
  </si>
  <si>
    <t>Actual Result</t>
  </si>
  <si>
    <t>Expected Result</t>
  </si>
  <si>
    <t>Recommendations</t>
  </si>
  <si>
    <t>WCAG SC#</t>
  </si>
  <si>
    <t>Impact</t>
  </si>
  <si>
    <t>Automation</t>
  </si>
  <si>
    <t>Issue Type</t>
  </si>
  <si>
    <t>Sheet Name</t>
  </si>
  <si>
    <r>
      <t xml:space="preserve">Platform / OS: Win 10, macOS (dWeb)
Browser: Google Chrome, Safari
Test URL: </t>
    </r>
    <r>
      <rPr>
        <sz val="10"/>
        <color rgb="FF000000"/>
        <rFont val="Calibri"/>
        <family val="2"/>
      </rPr>
      <t xml:space="preserve">
</t>
    </r>
    <r>
      <rPr>
        <b/>
        <sz val="10"/>
        <color rgb="FF000000"/>
        <rFont val="Calibri"/>
        <family val="2"/>
      </rPr>
      <t>AT (Screen Reader): JAWS 2021/2020, NVDA, VoiceOver for mac
Automation Accessibility Tools: Siteimprove Accessibility Checker, aXe DevTools
Browser + AT Combination: JAWS+Chrome/Edge, VoiceOver+Safari/Chrome, NVDA+Firefox</t>
    </r>
  </si>
  <si>
    <t>Website Title</t>
  </si>
  <si>
    <t>WCAG 2.1 AA Checkpoint wise Status Distribution</t>
  </si>
  <si>
    <t>Category Wise Issue Distribution</t>
  </si>
  <si>
    <t>Category</t>
  </si>
  <si>
    <t>Success Status Wise Defect Distribution</t>
  </si>
  <si>
    <t>Platform / OS: Android, iOS (mWeb)
Browser: Chrome, Safari
Test URL: 
AT (Screen Reader): TalkBack, VoiceOver
Automation Accessibility Tools: NA
Browser + AT Combination: TalkBack+Chrome, iOS VoiceOver + Safari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</si>
</sst>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</font>
    <font>
      <b/>
      <sz val="13"/>
      <color theme="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3"/>
      <color rgb="FF2F5496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B4C6E7"/>
        <bgColor rgb="FFB4C6E7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4" borderId="15">
      <alignment horizontal="left" vertical="center"/>
    </xf>
    <xf numFmtId="0" fontId="5" fillId="5" borderId="15">
      <alignment horizontal="left" vertical="center"/>
    </xf>
  </cellStyleXfs>
  <cellXfs count="43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0" borderId="0" xfId="0" applyFont="1"/>
    <xf numFmtId="0" fontId="5" fillId="5" borderId="21" xfId="2" applyBorder="1">
      <alignment horizontal="left" vertical="center"/>
    </xf>
    <xf numFmtId="0" fontId="5" fillId="5" borderId="22" xfId="2" applyBorder="1">
      <alignment horizontal="left" vertical="center"/>
    </xf>
    <xf numFmtId="0" fontId="0" fillId="7" borderId="20" xfId="0" applyFill="1" applyBorder="1"/>
    <xf numFmtId="0" fontId="4" fillId="4" borderId="23" xfId="1" applyBorder="1">
      <alignment horizontal="left" vertical="center"/>
    </xf>
    <xf numFmtId="0" fontId="0" fillId="7" borderId="24" xfId="0" applyFill="1" applyBorder="1"/>
    <xf numFmtId="0" fontId="4" fillId="4" borderId="15" xfId="1">
      <alignment horizontal="left" vertical="center"/>
    </xf>
    <xf numFmtId="0" fontId="4" fillId="4" borderId="1" xfId="1" applyBorder="1">
      <alignment horizontal="left" vertical="center"/>
    </xf>
    <xf numFmtId="0" fontId="4" fillId="4" borderId="25" xfId="1" applyBorder="1">
      <alignment horizontal="left" vertical="center"/>
    </xf>
    <xf numFmtId="0" fontId="1" fillId="6" borderId="0" xfId="0" applyFont="1" applyFill="1" applyAlignment="1">
      <alignment horizontal="left" vertical="top"/>
    </xf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0" fillId="0" borderId="7" xfId="0" applyBorder="1"/>
    <xf numFmtId="0" fontId="1" fillId="2" borderId="17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/>
    </xf>
    <xf numFmtId="0" fontId="2" fillId="0" borderId="13" xfId="0" applyFont="1" applyBorder="1" applyAlignment="1">
      <alignment horizontal="left" vertical="top" wrapText="1"/>
    </xf>
    <xf numFmtId="0" fontId="0" fillId="0" borderId="5" xfId="0" applyBorder="1"/>
    <xf numFmtId="0" fontId="0" fillId="0" borderId="6" xfId="0" applyBorder="1"/>
    <xf numFmtId="0" fontId="3" fillId="3" borderId="13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left" vertical="top" wrapText="1"/>
    </xf>
    <xf numFmtId="0" fontId="0" fillId="0" borderId="8" xfId="0" applyBorder="1"/>
    <xf numFmtId="0" fontId="0" fillId="0" borderId="9" xfId="0" applyBorder="1"/>
    <xf numFmtId="0" fontId="1" fillId="2" borderId="2" xfId="0" applyFont="1" applyFill="1" applyBorder="1" applyAlignment="1">
      <alignment horizontal="center" vertical="center"/>
    </xf>
    <xf numFmtId="0" fontId="0" fillId="2" borderId="19" xfId="0" applyFill="1" applyBorder="1"/>
    <xf numFmtId="0" fontId="1" fillId="2" borderId="3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4" xfId="0" applyBorder="1"/>
    <xf numFmtId="0" fontId="0" fillId="0" borderId="16" xfId="0" applyBorder="1"/>
    <xf numFmtId="0" fontId="0" fillId="0" borderId="12" xfId="0" applyBorder="1"/>
    <xf numFmtId="0" fontId="5" fillId="5" borderId="27" xfId="2" applyBorder="1">
      <alignment horizontal="left" vertical="center"/>
    </xf>
    <xf numFmtId="0" fontId="0" fillId="7" borderId="28" xfId="0" applyFill="1" applyBorder="1"/>
    <xf numFmtId="0" fontId="0" fillId="7" borderId="26" xfId="0" applyFill="1" applyBorder="1"/>
    <xf numFmtId="0" fontId="5" fillId="5" borderId="2" xfId="2" applyBorder="1">
      <alignment horizontal="left" vertical="center"/>
    </xf>
    <xf numFmtId="0" fontId="5" fillId="5" borderId="17" xfId="2" applyBorder="1">
      <alignment horizontal="left" vertical="center"/>
    </xf>
    <xf numFmtId="0" fontId="1" fillId="7" borderId="29" xfId="0" applyFont="1" applyFill="1" applyBorder="1"/>
    <xf numFmtId="0" fontId="4" fillId="4" borderId="4" xfId="1" applyBorder="1">
      <alignment horizontal="left" vertical="center"/>
    </xf>
    <xf numFmtId="0" fontId="1" fillId="7" borderId="19" xfId="0" applyFont="1" applyFill="1" applyBorder="1"/>
    <xf numFmtId="0" fontId="4" fillId="4" borderId="18" xfId="1" applyBorder="1">
      <alignment horizontal="left" vertical="center"/>
    </xf>
  </cellXfs>
  <cellStyles count="3">
    <cellStyle name="cell_style" xfId="1" xr:uid="{00000000-0005-0000-0000-000001000000}"/>
    <cellStyle name="header_cell_style" xfId="2" xr:uid="{00000000-0005-0000-0000-000002000000}"/>
    <cellStyle name="Normal" xfId="0" builtinId="0"/>
  </cellStyles>
  <dxfs count="15"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WCAG 2.1 AA Success Criteria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Chart'!$D$4</c:f>
              <c:strCache>
                <c:ptCount val="1"/>
                <c:pt idx="0">
                  <c:v>No of occurence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Chart'!$C$5:$C$54</c:f>
              <c:strCache>
                <c:ptCount val="50"/>
                <c:pt idx="0">
                  <c:v>1.1.1 Non Text Content</c:v>
                </c:pt>
                <c:pt idx="1">
                  <c:v>1.2.1 Audio-only and Video-only (Prerecorded)</c:v>
                </c:pt>
                <c:pt idx="2">
                  <c:v>1.2.2 Captions</c:v>
                </c:pt>
                <c:pt idx="3">
                  <c:v>1.2.3 Audio Descriptions and Media Alternative (Prerecorded)</c:v>
                </c:pt>
                <c:pt idx="4">
                  <c:v>1.2.4 Captions (Live)</c:v>
                </c:pt>
                <c:pt idx="5">
                  <c:v>1.2.5 Audio Description (Prerecorded)</c:v>
                </c:pt>
                <c:pt idx="6">
                  <c:v>1.3.1 Info and Relationship</c:v>
                </c:pt>
                <c:pt idx="7">
                  <c:v>1.3.2 Meaningful Sequence</c:v>
                </c:pt>
                <c:pt idx="8">
                  <c:v>1.3.3 Sensory Characteristics</c:v>
                </c:pt>
                <c:pt idx="9">
                  <c:v>1.3.4 Orientation</c:v>
                </c:pt>
                <c:pt idx="10">
                  <c:v>1.3.5 Identify Input Purpose</c:v>
                </c:pt>
                <c:pt idx="11">
                  <c:v>1.4.1 Use of Color</c:v>
                </c:pt>
                <c:pt idx="12">
                  <c:v>1.4.2 Audio Control</c:v>
                </c:pt>
                <c:pt idx="13">
                  <c:v>1.4.3 Contrast (Minimum)</c:v>
                </c:pt>
                <c:pt idx="14">
                  <c:v>1.4.4 Resize Text</c:v>
                </c:pt>
                <c:pt idx="15">
                  <c:v>1.4.5 Image of Text</c:v>
                </c:pt>
                <c:pt idx="16">
                  <c:v>1.4.10 Reflow</c:v>
                </c:pt>
                <c:pt idx="17">
                  <c:v>1.4.11 Non Text Contrast</c:v>
                </c:pt>
                <c:pt idx="18">
                  <c:v>1.4.12 Text Spacing</c:v>
                </c:pt>
                <c:pt idx="19">
                  <c:v>1.4.13 Content on Hover or Focus</c:v>
                </c:pt>
                <c:pt idx="20">
                  <c:v>2.1.1 Keyboard</c:v>
                </c:pt>
                <c:pt idx="21">
                  <c:v>2.1.2 No Keyboard Trap</c:v>
                </c:pt>
                <c:pt idx="22">
                  <c:v>2.1.4 Character Key Shortcut</c:v>
                </c:pt>
                <c:pt idx="23">
                  <c:v>2.2.1 Timing Adjustable</c:v>
                </c:pt>
                <c:pt idx="24">
                  <c:v>2.2.2 Pause, Stop, Hide</c:v>
                </c:pt>
                <c:pt idx="25">
                  <c:v>2.3.1 Three Flashes or Below Threshold</c:v>
                </c:pt>
                <c:pt idx="26">
                  <c:v>2.4.1 Bypass Block</c:v>
                </c:pt>
                <c:pt idx="27">
                  <c:v>2.4.2 Page Titled</c:v>
                </c:pt>
                <c:pt idx="28">
                  <c:v>2.4.3 Focus Order</c:v>
                </c:pt>
                <c:pt idx="29">
                  <c:v>2.4.4 Link Purpose (In Context)</c:v>
                </c:pt>
                <c:pt idx="30">
                  <c:v>2.4.5 Multiple Ways</c:v>
                </c:pt>
                <c:pt idx="31">
                  <c:v>2.4.6 Headings and Labels</c:v>
                </c:pt>
                <c:pt idx="32">
                  <c:v>2.4.7 Focus Visible</c:v>
                </c:pt>
                <c:pt idx="33">
                  <c:v>2.5.1 Pointer Gestures</c:v>
                </c:pt>
                <c:pt idx="34">
                  <c:v>2.5.2 Pointer Cancellation</c:v>
                </c:pt>
                <c:pt idx="35">
                  <c:v>2.5.3 Label in Name</c:v>
                </c:pt>
                <c:pt idx="36">
                  <c:v>2.5.4 Motion Actuation</c:v>
                </c:pt>
                <c:pt idx="37">
                  <c:v>3.1.1 Language of Page</c:v>
                </c:pt>
                <c:pt idx="38">
                  <c:v>3.1.2 Language of Parts</c:v>
                </c:pt>
                <c:pt idx="39">
                  <c:v>3.2.1 On Focus</c:v>
                </c:pt>
                <c:pt idx="40">
                  <c:v>3.2.2 On Input</c:v>
                </c:pt>
                <c:pt idx="41">
                  <c:v>3.2.3 Consistent Navigation</c:v>
                </c:pt>
                <c:pt idx="42">
                  <c:v>3.2.4 Consistent Identification</c:v>
                </c:pt>
                <c:pt idx="43">
                  <c:v>3.3.1 Error Identification</c:v>
                </c:pt>
                <c:pt idx="44">
                  <c:v>3.3.2 Label or Instructions</c:v>
                </c:pt>
                <c:pt idx="45">
                  <c:v>3.3.3 Error Suggestion</c:v>
                </c:pt>
                <c:pt idx="46">
                  <c:v>3.3.4 Error Prevention (Legal, Financial, Data)</c:v>
                </c:pt>
                <c:pt idx="47">
                  <c:v>4.1.1 Parsing</c:v>
                </c:pt>
                <c:pt idx="48">
                  <c:v>4.1.2 Name, Role, Value</c:v>
                </c:pt>
                <c:pt idx="49">
                  <c:v>4.1.3 Status Message</c:v>
                </c:pt>
              </c:strCache>
            </c:strRef>
          </c:cat>
          <c:val>
            <c:numRef>
              <c:f>'Data &amp; Chart'!$D$5:$D$54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8-4EE2-930F-823F36A7F8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WCAG Success Criteria #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Severity/Impact Wise Defect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Chart'!$C$60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Chart'!$D$59:$G$59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'Data &amp; Chart'!$D$60:$G$60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C-4168-9322-E4AE83AF54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Impact Category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Conformance Level Wise Defect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Chart'!$C$75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Chart'!$D$74:$E$74</c:f>
              <c:strCache>
                <c:ptCount val="2"/>
                <c:pt idx="0">
                  <c:v>A</c:v>
                </c:pt>
                <c:pt idx="1">
                  <c:v>AA</c:v>
                </c:pt>
              </c:strCache>
            </c:strRef>
          </c:cat>
          <c:val>
            <c:numRef>
              <c:f>'Data &amp; Chart'!$D$75:$E$75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B-46DA-B601-F3F5A17D22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Conformance Level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effectLst/>
              </a:rPr>
              <a:t>Category Wise Issue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'Data &amp; Chart'!$C$90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'Data &amp; Chart'!$D$89:$J$89</c:f>
              <c:strCache>
                <c:ptCount val="7"/>
                <c:pt idx="0">
                  <c:v>Keyboard Navigation</c:v>
                </c:pt>
                <c:pt idx="1">
                  <c:v>Color Contrast</c:v>
                </c:pt>
                <c:pt idx="2">
                  <c:v>Color</c:v>
                </c:pt>
                <c:pt idx="3">
                  <c:v>Zoom</c:v>
                </c:pt>
                <c:pt idx="4">
                  <c:v>HTML Validator</c:v>
                </c:pt>
                <c:pt idx="5">
                  <c:v>Screen Reader</c:v>
                </c:pt>
                <c:pt idx="6">
                  <c:v>Other A11y</c:v>
                </c:pt>
              </c:strCache>
            </c:strRef>
          </c:cat>
          <c:val>
            <c:numRef>
              <c:f>'Data &amp; Chart'!$D$90:$J$90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8-404D-9E3B-3F330735149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WCAG 2.1 AA Checkpoint wise Status Distribution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3576076388888889"/>
          <c:y val="0.19669333333333333"/>
          <c:w val="0.43860954861111112"/>
          <c:h val="0.70177527777777782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'Data &amp; Chart'!$D$104:$F$104</c:f>
              <c:strCache>
                <c:ptCount val="3"/>
                <c:pt idx="0">
                  <c:v>Fail</c:v>
                </c:pt>
                <c:pt idx="1">
                  <c:v>Pass</c:v>
                </c:pt>
                <c:pt idx="2">
                  <c:v>N/A</c:v>
                </c:pt>
              </c:strCache>
            </c:strRef>
          </c:cat>
          <c:val>
            <c:numRef>
              <c:f>'Data &amp; Chart'!$D$105:$F$105</c:f>
              <c:numCache>
                <c:formatCode>General</c:formatCode>
                <c:ptCount val="3"/>
                <c:pt idx="0">
                  <c:v>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4-4E9F-8482-B8245133C64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595313</xdr:colOff>
      <xdr:row>11</xdr:row>
      <xdr:rowOff>47626</xdr:rowOff>
    </xdr:from>
    <xdr:ext cx="900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8</xdr:col>
      <xdr:colOff>0</xdr:colOff>
      <xdr:row>55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8</xdr:col>
      <xdr:colOff>0</xdr:colOff>
      <xdr:row>70</xdr:row>
      <xdr:rowOff>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10</xdr:col>
      <xdr:colOff>293687</xdr:colOff>
      <xdr:row>87</xdr:row>
      <xdr:rowOff>7937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9</xdr:col>
      <xdr:colOff>511969</xdr:colOff>
      <xdr:row>111</xdr:row>
      <xdr:rowOff>107156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502444</xdr:colOff>
          <xdr:row>2</xdr:row>
          <xdr:rowOff>19050</xdr:rowOff>
        </xdr:from>
        <xdr:to>
          <xdr:col>9</xdr:col>
          <xdr:colOff>571499</xdr:colOff>
          <xdr:row>4</xdr:row>
          <xdr:rowOff>0</xdr:rowOff>
        </xdr:to>
        <xdr:sp macro="" textlink="">
          <xdr:nvSpPr>
            <xdr:cNvPr id="121862" name="Button 6" hidden="1">
              <a:extLst>
                <a:ext uri="{63B3BB69-23CF-44E3-9099-C40C66FF867C}">
                  <a14:compatExt spid="_x0000_s121862"/>
                </a:ext>
                <a:ext uri="{FF2B5EF4-FFF2-40B4-BE49-F238E27FC236}">
                  <a16:creationId xmlns:a16="http://schemas.microsoft.com/office/drawing/2014/main" id="{00000000-0008-0000-0100-000006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457199</xdr:colOff>
          <xdr:row>2</xdr:row>
          <xdr:rowOff>26193</xdr:rowOff>
        </xdr:from>
        <xdr:to>
          <xdr:col>10</xdr:col>
          <xdr:colOff>1857374</xdr:colOff>
          <xdr:row>3</xdr:row>
          <xdr:rowOff>166686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01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3286125</xdr:colOff>
          <xdr:row>0</xdr:row>
          <xdr:rowOff>190500</xdr:rowOff>
        </xdr:from>
        <xdr:to>
          <xdr:col>3</xdr:col>
          <xdr:colOff>561975</xdr:colOff>
          <xdr:row>3</xdr:row>
          <xdr:rowOff>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2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Sheet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DB47DF-C9AD-4385-A5E6-DA0F19580EBD}" name="DefectCountTable" displayName="DefectCountTable" ref="C59:G60">
  <autoFilter ref="C59:G60" xr:uid="{E6DB47DF-C9AD-4385-A5E6-DA0F19580EBD}"/>
  <tableColumns count="5">
    <tableColumn id="2" xr3:uid="{3D64561C-9F97-466E-BF2C-61A6371E7789}" name="Impact"/>
    <tableColumn id="3" xr3:uid="{4EE15FD1-2868-49F1-B80B-CE354AA6A076}" name="Critical">
      <calculatedColumnFormula>SUM('Execution Summary'!O4:O94 )</calculatedColumnFormula>
    </tableColumn>
    <tableColumn id="4" xr3:uid="{770541F6-99A8-4A6E-9B9C-110B24E35F3D}" name="High">
      <calculatedColumnFormula>SUM('Execution Summary'!P4:P94 )</calculatedColumnFormula>
    </tableColumn>
    <tableColumn id="5" xr3:uid="{46D6BE22-45F2-4815-9B6A-8749A275E9E7}" name="Medium">
      <calculatedColumnFormula>SUM('Execution Summary'!Q4:Q94 )</calculatedColumnFormula>
    </tableColumn>
    <tableColumn id="6" xr3:uid="{701552EC-2FA3-4E67-8983-9513C8A8BAB6}" name="Low">
      <calculatedColumnFormula>SUM('Execution Summary'!R4:R94 )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298A42-2EA0-4F88-8F59-347C5E0D70E5}" name="ConformanceCountTable" displayName="ConformanceCountTable" ref="C74:E75">
  <autoFilter ref="C74:E75" xr:uid="{FF298A42-2EA0-4F88-8F59-347C5E0D70E5}"/>
  <tableColumns count="3">
    <tableColumn id="2" xr3:uid="{6F0689C0-3128-4CBC-B06A-165D51E22B81}" name="Conformance Level"/>
    <tableColumn id="3" xr3:uid="{1BA296FE-51CF-4132-8A80-6BCAD3CC0ACA}" name="A">
      <calculatedColumnFormula>SUM('Execution Summary'!F4:F94 )</calculatedColumnFormula>
    </tableColumn>
    <tableColumn id="4" xr3:uid="{0AFEBF89-50A7-485B-AF42-59427A5530E7}" name="AA">
      <calculatedColumnFormula>SUM('Execution Summary'!G4:G94 )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EAC962-60B0-4F61-9071-4DF3DCD98904}" name="IssuetypeCountTable" displayName="IssuetypeCountTable" ref="C89:J90">
  <autoFilter ref="C89:J90" xr:uid="{89EAC962-60B0-4F61-9071-4DF3DCD98904}"/>
  <tableColumns count="8">
    <tableColumn id="2" xr3:uid="{E48FA058-DB31-4216-9D6F-A973F3C43ACD}" name="Category"/>
    <tableColumn id="3" xr3:uid="{7D4F4C7E-28B5-489A-BE33-8B408B7A26B9}" name="Keyboard Navigation">
      <calculatedColumnFormula>SUM('Execution Summary'!H4:H94 )</calculatedColumnFormula>
    </tableColumn>
    <tableColumn id="4" xr3:uid="{87FB1347-F9FC-4C2C-AB66-89F24ECB04AB}" name="Color Contrast">
      <calculatedColumnFormula>SUM('Execution Summary'!I4:I94 )</calculatedColumnFormula>
    </tableColumn>
    <tableColumn id="5" xr3:uid="{8F5B434A-C0C0-49CA-B377-8E3705384ECC}" name="Color">
      <calculatedColumnFormula>SUM('Execution Summary'!J4:J94 )</calculatedColumnFormula>
    </tableColumn>
    <tableColumn id="6" xr3:uid="{EAACE45A-E5E6-43BA-B78E-ECDDC0F30ABC}" name="Zoom">
      <calculatedColumnFormula>SUM('Execution Summary'!K4:K94 )</calculatedColumnFormula>
    </tableColumn>
    <tableColumn id="7" xr3:uid="{64EA510C-FDD8-4F85-8AC3-00061F13A2AD}" name="HTML Validator">
      <calculatedColumnFormula>SUM('Execution Summary'!L4:L94 )</calculatedColumnFormula>
    </tableColumn>
    <tableColumn id="8" xr3:uid="{0C1B2239-265E-4FC2-A189-1FA759596A08}" name="Screen Reader">
      <calculatedColumnFormula>SUM('Execution Summary'!M4:M94 )</calculatedColumnFormula>
    </tableColumn>
    <tableColumn id="9" xr3:uid="{41F18556-9EC9-4AD8-96CB-E40D3683EB3F}" name="Other A11y">
      <calculatedColumnFormula>SUM('Execution Summary'!N4:N94 )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1B87A3F-6B54-4367-8F2E-4C0E459FF0EB}" name="Status_counts_table" displayName="Status_counts_table" ref="C104:F105">
  <autoFilter ref="C104:F105" xr:uid="{01B87A3F-6B54-4367-8F2E-4C0E459FF0EB}"/>
  <tableColumns count="4">
    <tableColumn id="2" xr3:uid="{0B97331E-502C-46B9-9794-230B75DABB30}" name="Result"/>
    <tableColumn id="3" xr3:uid="{608A90AA-EA56-409C-8B12-2379F4E04A37}" name="Fail">
      <calculatedColumnFormula>COUNTIF(Status_table[[#All],[Result]], "Fail")</calculatedColumnFormula>
    </tableColumn>
    <tableColumn id="4" xr3:uid="{B447D359-F657-43FF-8D3C-5F8AFF2C9CA7}" name="Pass">
      <calculatedColumnFormula>COUNTIF(Status_table[[#All],[Result]], "Pass")</calculatedColumnFormula>
    </tableColumn>
    <tableColumn id="5" xr3:uid="{327FB89D-D220-4A02-BA68-16EE15A919D9}" name="N/A">
      <calculatedColumnFormula>COUNTIF(Status_table[Result], "N/A")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EF44BC1-4782-431B-8528-B57732BF49EA}" name="Status_table" displayName="Status_table" ref="B111:D161" headerRowDxfId="14" totalsRowDxfId="11" headerRowBorderDxfId="13" tableBorderDxfId="12">
  <autoFilter ref="B111:D161" xr:uid="{BEF44BC1-4782-431B-8528-B57732BF49EA}"/>
  <tableColumns count="3">
    <tableColumn id="6" xr3:uid="{8BF07C4D-9D5A-40B0-9F97-C2438DC7CD28}" name="WCAG" dataDxfId="10" totalsRowDxfId="9"/>
    <tableColumn id="2" xr3:uid="{99C0F670-1641-4D08-82AF-5017BD80111E}" name="WCAG SC" dataDxfId="8"/>
    <tableColumn id="3" xr3:uid="{BDAA0AAB-94BA-46C2-B56E-0F7B1B572485}" name="Result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849DB-B0DA-4088-B18B-6840D2F8AD59}" name="WCAG_Counts" displayName="WCAG_Counts" ref="B4:D54" headerRowDxfId="6" totalsRowDxfId="3" headerRowBorderDxfId="5" tableBorderDxfId="4">
  <autoFilter ref="B4:D54" xr:uid="{484849DB-B0DA-4088-B18B-6840D2F8AD59}"/>
  <tableColumns count="3">
    <tableColumn id="5" xr3:uid="{1B46440A-5A38-45DB-94EE-C810EA3227CF}" name="WCAG" dataDxfId="2" dataCellStyle="cell_style"/>
    <tableColumn id="2" xr3:uid="{5ABA4F5C-DDEE-4BCF-A43E-9A36594DBC12}" name="WCAG SC" dataDxfId="1"/>
    <tableColumn id="3" xr3:uid="{4D416CC5-4EE7-41DA-A443-467E1F3B8D2C}" name="No of occurenc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61"/>
  <sheetViews>
    <sheetView topLeftCell="A81" zoomScale="80" zoomScaleNormal="80" workbookViewId="0">
      <selection activeCell="J6" sqref="J6"/>
    </sheetView>
  </sheetViews>
  <sheetFormatPr defaultRowHeight="15" x14ac:dyDescent="0.25"/>
  <cols>
    <col min="1" max="1" width="13.85546875" customWidth="1"/>
    <col min="2" max="2" width="19.85546875" hidden="1" customWidth="1"/>
    <col min="3" max="3" width="41.5703125" customWidth="1"/>
    <col min="4" max="4" width="20" customWidth="1"/>
    <col min="10" max="10" width="13.5703125" bestFit="1" customWidth="1"/>
    <col min="11" max="11" width="36.7109375" customWidth="1"/>
    <col min="12" max="12" width="56.7109375" customWidth="1"/>
    <col min="13" max="13" width="17.85546875" customWidth="1"/>
    <col min="14" max="14" width="14.85546875" customWidth="1"/>
    <col min="15" max="15" width="9" customWidth="1"/>
    <col min="16" max="16" width="9.5703125" customWidth="1"/>
    <col min="17" max="17" width="56.7109375" customWidth="1"/>
    <col min="18" max="18" width="20.85546875" customWidth="1"/>
    <col min="19" max="19" width="9.28515625" customWidth="1"/>
    <col min="21" max="21" width="56.85546875" customWidth="1"/>
    <col min="22" max="22" width="20.140625" customWidth="1"/>
    <col min="25" max="25" width="56.7109375" customWidth="1"/>
    <col min="26" max="26" width="9.7109375" customWidth="1"/>
    <col min="27" max="27" width="10.85546875" customWidth="1"/>
    <col min="29" max="29" width="56.85546875" customWidth="1"/>
    <col min="30" max="30" width="9.140625" customWidth="1"/>
    <col min="31" max="31" width="10.42578125" customWidth="1"/>
  </cols>
  <sheetData>
    <row r="2" spans="2:4" ht="17.25" x14ac:dyDescent="0.3">
      <c r="C2" s="4" t="s">
        <v>0</v>
      </c>
    </row>
    <row r="3" spans="2:4" ht="15.75" thickBot="1" x14ac:dyDescent="0.3"/>
    <row r="4" spans="2:4" x14ac:dyDescent="0.25">
      <c r="B4" s="34" t="s">
        <v>1</v>
      </c>
      <c r="C4" s="37" t="s">
        <v>2</v>
      </c>
      <c r="D4" s="38" t="s">
        <v>3</v>
      </c>
    </row>
    <row r="5" spans="2:4" x14ac:dyDescent="0.25">
      <c r="B5" s="35" t="s">
        <v>4</v>
      </c>
      <c r="C5" s="39" t="s">
        <v>5</v>
      </c>
      <c r="D5" s="40">
        <v>0</v>
      </c>
    </row>
    <row r="6" spans="2:4" x14ac:dyDescent="0.25">
      <c r="B6" s="35" t="s">
        <v>6</v>
      </c>
      <c r="C6" s="39" t="s">
        <v>7</v>
      </c>
      <c r="D6" s="40">
        <v>0</v>
      </c>
    </row>
    <row r="7" spans="2:4" x14ac:dyDescent="0.25">
      <c r="B7" s="35" t="s">
        <v>8</v>
      </c>
      <c r="C7" s="39" t="s">
        <v>9</v>
      </c>
      <c r="D7" s="40">
        <v>0</v>
      </c>
    </row>
    <row r="8" spans="2:4" x14ac:dyDescent="0.25">
      <c r="B8" s="35" t="s">
        <v>10</v>
      </c>
      <c r="C8" s="39" t="s">
        <v>11</v>
      </c>
      <c r="D8" s="40">
        <v>0</v>
      </c>
    </row>
    <row r="9" spans="2:4" x14ac:dyDescent="0.25">
      <c r="B9" s="35" t="s">
        <v>12</v>
      </c>
      <c r="C9" s="39" t="s">
        <v>13</v>
      </c>
      <c r="D9" s="40">
        <v>0</v>
      </c>
    </row>
    <row r="10" spans="2:4" x14ac:dyDescent="0.25">
      <c r="B10" s="35" t="s">
        <v>14</v>
      </c>
      <c r="C10" s="39" t="s">
        <v>15</v>
      </c>
      <c r="D10" s="40">
        <v>0</v>
      </c>
    </row>
    <row r="11" spans="2:4" x14ac:dyDescent="0.25">
      <c r="B11" s="35" t="s">
        <v>16</v>
      </c>
      <c r="C11" s="39" t="s">
        <v>17</v>
      </c>
      <c r="D11" s="40">
        <v>0</v>
      </c>
    </row>
    <row r="12" spans="2:4" x14ac:dyDescent="0.25">
      <c r="B12" s="35" t="s">
        <v>18</v>
      </c>
      <c r="C12" s="39" t="s">
        <v>19</v>
      </c>
      <c r="D12" s="40">
        <v>0</v>
      </c>
    </row>
    <row r="13" spans="2:4" x14ac:dyDescent="0.25">
      <c r="B13" s="35" t="s">
        <v>20</v>
      </c>
      <c r="C13" s="39" t="s">
        <v>21</v>
      </c>
      <c r="D13" s="40">
        <v>0</v>
      </c>
    </row>
    <row r="14" spans="2:4" x14ac:dyDescent="0.25">
      <c r="B14" s="35" t="s">
        <v>22</v>
      </c>
      <c r="C14" s="39" t="s">
        <v>23</v>
      </c>
      <c r="D14" s="40">
        <v>0</v>
      </c>
    </row>
    <row r="15" spans="2:4" x14ac:dyDescent="0.25">
      <c r="B15" s="35" t="s">
        <v>24</v>
      </c>
      <c r="C15" s="39" t="s">
        <v>25</v>
      </c>
      <c r="D15" s="40">
        <v>0</v>
      </c>
    </row>
    <row r="16" spans="2:4" x14ac:dyDescent="0.25">
      <c r="B16" s="35" t="s">
        <v>26</v>
      </c>
      <c r="C16" s="39" t="s">
        <v>27</v>
      </c>
      <c r="D16" s="40">
        <v>0</v>
      </c>
    </row>
    <row r="17" spans="2:4" x14ac:dyDescent="0.25">
      <c r="B17" s="35" t="s">
        <v>28</v>
      </c>
      <c r="C17" s="39" t="s">
        <v>29</v>
      </c>
      <c r="D17" s="40">
        <v>0</v>
      </c>
    </row>
    <row r="18" spans="2:4" x14ac:dyDescent="0.25">
      <c r="B18" s="35" t="s">
        <v>30</v>
      </c>
      <c r="C18" s="39" t="s">
        <v>31</v>
      </c>
      <c r="D18" s="40">
        <v>0</v>
      </c>
    </row>
    <row r="19" spans="2:4" x14ac:dyDescent="0.25">
      <c r="B19" s="35" t="s">
        <v>32</v>
      </c>
      <c r="C19" s="39" t="s">
        <v>33</v>
      </c>
      <c r="D19" s="40">
        <v>0</v>
      </c>
    </row>
    <row r="20" spans="2:4" x14ac:dyDescent="0.25">
      <c r="B20" s="35" t="s">
        <v>34</v>
      </c>
      <c r="C20" s="39" t="s">
        <v>35</v>
      </c>
      <c r="D20" s="40">
        <v>0</v>
      </c>
    </row>
    <row r="21" spans="2:4" x14ac:dyDescent="0.25">
      <c r="B21" s="35" t="s">
        <v>36</v>
      </c>
      <c r="C21" s="39" t="s">
        <v>37</v>
      </c>
      <c r="D21" s="40">
        <v>0</v>
      </c>
    </row>
    <row r="22" spans="2:4" x14ac:dyDescent="0.25">
      <c r="B22" s="35" t="s">
        <v>38</v>
      </c>
      <c r="C22" s="39" t="s">
        <v>39</v>
      </c>
      <c r="D22" s="40">
        <v>0</v>
      </c>
    </row>
    <row r="23" spans="2:4" x14ac:dyDescent="0.25">
      <c r="B23" s="35" t="s">
        <v>40</v>
      </c>
      <c r="C23" s="39" t="s">
        <v>41</v>
      </c>
      <c r="D23" s="40">
        <v>0</v>
      </c>
    </row>
    <row r="24" spans="2:4" x14ac:dyDescent="0.25">
      <c r="B24" s="35" t="s">
        <v>42</v>
      </c>
      <c r="C24" s="39" t="s">
        <v>43</v>
      </c>
      <c r="D24" s="40">
        <v>0</v>
      </c>
    </row>
    <row r="25" spans="2:4" x14ac:dyDescent="0.25">
      <c r="B25" s="35" t="s">
        <v>44</v>
      </c>
      <c r="C25" s="39" t="s">
        <v>45</v>
      </c>
      <c r="D25" s="40">
        <v>0</v>
      </c>
    </row>
    <row r="26" spans="2:4" x14ac:dyDescent="0.25">
      <c r="B26" s="35" t="s">
        <v>46</v>
      </c>
      <c r="C26" s="39" t="s">
        <v>47</v>
      </c>
      <c r="D26" s="40">
        <v>0</v>
      </c>
    </row>
    <row r="27" spans="2:4" x14ac:dyDescent="0.25">
      <c r="B27" s="35" t="s">
        <v>48</v>
      </c>
      <c r="C27" s="39" t="s">
        <v>49</v>
      </c>
      <c r="D27" s="40">
        <v>0</v>
      </c>
    </row>
    <row r="28" spans="2:4" x14ac:dyDescent="0.25">
      <c r="B28" s="35" t="s">
        <v>50</v>
      </c>
      <c r="C28" s="39" t="s">
        <v>51</v>
      </c>
      <c r="D28" s="40">
        <v>0</v>
      </c>
    </row>
    <row r="29" spans="2:4" x14ac:dyDescent="0.25">
      <c r="B29" s="35" t="s">
        <v>52</v>
      </c>
      <c r="C29" s="39" t="s">
        <v>53</v>
      </c>
      <c r="D29" s="40">
        <v>0</v>
      </c>
    </row>
    <row r="30" spans="2:4" x14ac:dyDescent="0.25">
      <c r="B30" s="35" t="s">
        <v>54</v>
      </c>
      <c r="C30" s="39" t="s">
        <v>55</v>
      </c>
      <c r="D30" s="40">
        <v>0</v>
      </c>
    </row>
    <row r="31" spans="2:4" x14ac:dyDescent="0.25">
      <c r="B31" s="35" t="s">
        <v>56</v>
      </c>
      <c r="C31" s="39" t="s">
        <v>57</v>
      </c>
      <c r="D31" s="40">
        <v>0</v>
      </c>
    </row>
    <row r="32" spans="2:4" x14ac:dyDescent="0.25">
      <c r="B32" s="35" t="s">
        <v>58</v>
      </c>
      <c r="C32" s="39" t="s">
        <v>59</v>
      </c>
      <c r="D32" s="40">
        <v>0</v>
      </c>
    </row>
    <row r="33" spans="2:4" x14ac:dyDescent="0.25">
      <c r="B33" s="35" t="s">
        <v>60</v>
      </c>
      <c r="C33" s="39" t="s">
        <v>61</v>
      </c>
      <c r="D33" s="40">
        <v>0</v>
      </c>
    </row>
    <row r="34" spans="2:4" x14ac:dyDescent="0.25">
      <c r="B34" s="35" t="s">
        <v>62</v>
      </c>
      <c r="C34" s="39" t="s">
        <v>63</v>
      </c>
      <c r="D34" s="40">
        <v>0</v>
      </c>
    </row>
    <row r="35" spans="2:4" x14ac:dyDescent="0.25">
      <c r="B35" s="35" t="s">
        <v>64</v>
      </c>
      <c r="C35" s="39" t="s">
        <v>65</v>
      </c>
      <c r="D35" s="40">
        <v>0</v>
      </c>
    </row>
    <row r="36" spans="2:4" x14ac:dyDescent="0.25">
      <c r="B36" s="35" t="s">
        <v>66</v>
      </c>
      <c r="C36" s="39" t="s">
        <v>67</v>
      </c>
      <c r="D36" s="40">
        <v>0</v>
      </c>
    </row>
    <row r="37" spans="2:4" x14ac:dyDescent="0.25">
      <c r="B37" s="35" t="s">
        <v>68</v>
      </c>
      <c r="C37" s="39" t="s">
        <v>69</v>
      </c>
      <c r="D37" s="40">
        <v>0</v>
      </c>
    </row>
    <row r="38" spans="2:4" x14ac:dyDescent="0.25">
      <c r="B38" s="35" t="s">
        <v>70</v>
      </c>
      <c r="C38" s="39" t="s">
        <v>71</v>
      </c>
      <c r="D38" s="40">
        <v>0</v>
      </c>
    </row>
    <row r="39" spans="2:4" x14ac:dyDescent="0.25">
      <c r="B39" s="35" t="s">
        <v>72</v>
      </c>
      <c r="C39" s="39" t="s">
        <v>73</v>
      </c>
      <c r="D39" s="40">
        <v>0</v>
      </c>
    </row>
    <row r="40" spans="2:4" x14ac:dyDescent="0.25">
      <c r="B40" s="35" t="s">
        <v>74</v>
      </c>
      <c r="C40" s="39" t="s">
        <v>75</v>
      </c>
      <c r="D40" s="40">
        <v>0</v>
      </c>
    </row>
    <row r="41" spans="2:4" x14ac:dyDescent="0.25">
      <c r="B41" s="35" t="s">
        <v>76</v>
      </c>
      <c r="C41" s="39" t="s">
        <v>77</v>
      </c>
      <c r="D41" s="40">
        <v>0</v>
      </c>
    </row>
    <row r="42" spans="2:4" x14ac:dyDescent="0.25">
      <c r="B42" s="35" t="s">
        <v>78</v>
      </c>
      <c r="C42" s="39" t="s">
        <v>79</v>
      </c>
      <c r="D42" s="40">
        <v>0</v>
      </c>
    </row>
    <row r="43" spans="2:4" x14ac:dyDescent="0.25">
      <c r="B43" s="35" t="s">
        <v>80</v>
      </c>
      <c r="C43" s="39" t="s">
        <v>81</v>
      </c>
      <c r="D43" s="40">
        <v>0</v>
      </c>
    </row>
    <row r="44" spans="2:4" x14ac:dyDescent="0.25">
      <c r="B44" s="35" t="s">
        <v>82</v>
      </c>
      <c r="C44" s="39" t="s">
        <v>83</v>
      </c>
      <c r="D44" s="40">
        <v>0</v>
      </c>
    </row>
    <row r="45" spans="2:4" x14ac:dyDescent="0.25">
      <c r="B45" s="35" t="s">
        <v>84</v>
      </c>
      <c r="C45" s="39" t="s">
        <v>85</v>
      </c>
      <c r="D45" s="40">
        <v>0</v>
      </c>
    </row>
    <row r="46" spans="2:4" x14ac:dyDescent="0.25">
      <c r="B46" s="35" t="s">
        <v>86</v>
      </c>
      <c r="C46" s="39" t="s">
        <v>87</v>
      </c>
      <c r="D46" s="40">
        <v>0</v>
      </c>
    </row>
    <row r="47" spans="2:4" x14ac:dyDescent="0.25">
      <c r="B47" s="35" t="s">
        <v>88</v>
      </c>
      <c r="C47" s="39" t="s">
        <v>89</v>
      </c>
      <c r="D47" s="40">
        <v>0</v>
      </c>
    </row>
    <row r="48" spans="2:4" x14ac:dyDescent="0.25">
      <c r="B48" s="35" t="s">
        <v>90</v>
      </c>
      <c r="C48" s="39" t="s">
        <v>91</v>
      </c>
      <c r="D48" s="40">
        <v>0</v>
      </c>
    </row>
    <row r="49" spans="2:7" x14ac:dyDescent="0.25">
      <c r="B49" s="35" t="s">
        <v>92</v>
      </c>
      <c r="C49" s="39" t="s">
        <v>93</v>
      </c>
      <c r="D49" s="40">
        <v>0</v>
      </c>
    </row>
    <row r="50" spans="2:7" x14ac:dyDescent="0.25">
      <c r="B50" s="35" t="s">
        <v>94</v>
      </c>
      <c r="C50" s="39" t="s">
        <v>95</v>
      </c>
      <c r="D50" s="40">
        <v>0</v>
      </c>
    </row>
    <row r="51" spans="2:7" x14ac:dyDescent="0.25">
      <c r="B51" s="35" t="s">
        <v>96</v>
      </c>
      <c r="C51" s="39" t="s">
        <v>97</v>
      </c>
      <c r="D51" s="40">
        <v>0</v>
      </c>
    </row>
    <row r="52" spans="2:7" x14ac:dyDescent="0.25">
      <c r="B52" s="35" t="s">
        <v>98</v>
      </c>
      <c r="C52" s="39" t="s">
        <v>99</v>
      </c>
      <c r="D52" s="40">
        <v>0</v>
      </c>
    </row>
    <row r="53" spans="2:7" x14ac:dyDescent="0.25">
      <c r="B53" s="35" t="s">
        <v>100</v>
      </c>
      <c r="C53" s="39" t="s">
        <v>101</v>
      </c>
      <c r="D53" s="40">
        <v>0</v>
      </c>
    </row>
    <row r="54" spans="2:7" ht="15.75" thickBot="1" x14ac:dyDescent="0.3">
      <c r="B54" s="36" t="s">
        <v>102</v>
      </c>
      <c r="C54" s="41" t="s">
        <v>103</v>
      </c>
      <c r="D54" s="42">
        <v>0</v>
      </c>
    </row>
    <row r="57" spans="2:7" ht="17.25" x14ac:dyDescent="0.3">
      <c r="C57" s="4" t="s">
        <v>104</v>
      </c>
    </row>
    <row r="59" spans="2:7" x14ac:dyDescent="0.25">
      <c r="C59" s="10" t="s">
        <v>146</v>
      </c>
      <c r="D59" s="10" t="s">
        <v>105</v>
      </c>
      <c r="E59" s="10" t="s">
        <v>106</v>
      </c>
      <c r="F59" s="10" t="s">
        <v>107</v>
      </c>
      <c r="G59" s="10" t="s">
        <v>108</v>
      </c>
    </row>
    <row r="60" spans="2:7" x14ac:dyDescent="0.25">
      <c r="C60" s="10" t="s">
        <v>109</v>
      </c>
      <c r="D60" s="10">
        <f>SUM('Execution Summary'!O4:O94 )</f>
        <v>0</v>
      </c>
      <c r="E60" s="10">
        <f>SUM('Execution Summary'!P4:P94 )</f>
        <v>0</v>
      </c>
      <c r="F60" s="10">
        <f>SUM('Execution Summary'!Q4:Q94 )</f>
        <v>0</v>
      </c>
      <c r="G60" s="10">
        <f>SUM('Execution Summary'!R4:R94 )</f>
        <v>0</v>
      </c>
    </row>
    <row r="72" spans="3:5" ht="17.25" x14ac:dyDescent="0.3">
      <c r="C72" s="4" t="s">
        <v>110</v>
      </c>
    </row>
    <row r="74" spans="3:5" x14ac:dyDescent="0.25">
      <c r="C74" s="10" t="s">
        <v>111</v>
      </c>
      <c r="D74" s="10" t="s">
        <v>112</v>
      </c>
      <c r="E74" s="10" t="s">
        <v>113</v>
      </c>
    </row>
    <row r="75" spans="3:5" x14ac:dyDescent="0.25">
      <c r="C75" s="10" t="s">
        <v>109</v>
      </c>
      <c r="D75" s="10">
        <f>SUM('Execution Summary'!F4:F94 )</f>
        <v>0</v>
      </c>
      <c r="E75" s="10">
        <f>SUM('Execution Summary'!G4:G94 )</f>
        <v>0</v>
      </c>
    </row>
    <row r="87" spans="3:10" ht="17.25" x14ac:dyDescent="0.3">
      <c r="C87" s="4" t="s">
        <v>153</v>
      </c>
    </row>
    <row r="89" spans="3:10" x14ac:dyDescent="0.25">
      <c r="C89" s="10" t="s">
        <v>154</v>
      </c>
      <c r="D89" s="10" t="s">
        <v>114</v>
      </c>
      <c r="E89" s="10" t="s">
        <v>115</v>
      </c>
      <c r="F89" s="10" t="s">
        <v>116</v>
      </c>
      <c r="G89" s="10" t="s">
        <v>117</v>
      </c>
      <c r="H89" s="10" t="s">
        <v>118</v>
      </c>
      <c r="I89" s="10" t="s">
        <v>119</v>
      </c>
      <c r="J89" s="10" t="s">
        <v>120</v>
      </c>
    </row>
    <row r="90" spans="3:10" x14ac:dyDescent="0.25">
      <c r="C90" s="10" t="s">
        <v>109</v>
      </c>
      <c r="D90" s="10">
        <f>SUM('Execution Summary'!H4:H94 )</f>
        <v>0</v>
      </c>
      <c r="E90" s="10">
        <f>SUM('Execution Summary'!I4:I94 )</f>
        <v>0</v>
      </c>
      <c r="F90" s="10">
        <f>SUM('Execution Summary'!J4:J94 )</f>
        <v>0</v>
      </c>
      <c r="G90" s="10">
        <f>SUM('Execution Summary'!K4:K94 )</f>
        <v>0</v>
      </c>
      <c r="H90" s="10">
        <f>SUM('Execution Summary'!L4:L94 )</f>
        <v>0</v>
      </c>
      <c r="I90" s="10">
        <f>SUM('Execution Summary'!M4:M94 )</f>
        <v>0</v>
      </c>
      <c r="J90" s="10">
        <f>SUM('Execution Summary'!N4:N94 )</f>
        <v>0</v>
      </c>
    </row>
    <row r="102" spans="2:6" ht="17.25" x14ac:dyDescent="0.3">
      <c r="C102" s="4" t="s">
        <v>155</v>
      </c>
    </row>
    <row r="104" spans="2:6" x14ac:dyDescent="0.25">
      <c r="C104" s="10" t="s">
        <v>121</v>
      </c>
      <c r="D104" s="10" t="s">
        <v>122</v>
      </c>
      <c r="E104" s="10" t="s">
        <v>123</v>
      </c>
      <c r="F104" s="10" t="s">
        <v>124</v>
      </c>
    </row>
    <row r="105" spans="2:6" x14ac:dyDescent="0.25">
      <c r="C105" s="10"/>
      <c r="D105" s="10">
        <f>COUNTIF(Status_table[[#All],[Result]], "Fail")</f>
        <v>3</v>
      </c>
      <c r="E105" s="10">
        <f>COUNTIF(Status_table[[#All],[Result]], "Pass")</f>
        <v>0</v>
      </c>
      <c r="F105" s="10">
        <f>COUNTIF(Status_table[Result], "N/A")</f>
        <v>0</v>
      </c>
    </row>
    <row r="109" spans="2:6" ht="17.25" x14ac:dyDescent="0.3">
      <c r="C109" s="4" t="s">
        <v>152</v>
      </c>
    </row>
    <row r="111" spans="2:6" x14ac:dyDescent="0.25">
      <c r="B111" s="5" t="s">
        <v>1</v>
      </c>
      <c r="C111" s="5" t="s">
        <v>2</v>
      </c>
      <c r="D111" s="6" t="s">
        <v>121</v>
      </c>
    </row>
    <row r="112" spans="2:6" x14ac:dyDescent="0.25">
      <c r="B112" s="7" t="s">
        <v>4</v>
      </c>
      <c r="C112" s="11" t="s">
        <v>5</v>
      </c>
      <c r="D112" s="8" t="s">
        <v>125</v>
      </c>
    </row>
    <row r="113" spans="2:4" x14ac:dyDescent="0.25">
      <c r="B113" s="7" t="s">
        <v>6</v>
      </c>
      <c r="C113" s="11" t="s">
        <v>7</v>
      </c>
      <c r="D113" s="8" t="s">
        <v>122</v>
      </c>
    </row>
    <row r="114" spans="2:4" x14ac:dyDescent="0.25">
      <c r="B114" s="7" t="s">
        <v>8</v>
      </c>
      <c r="C114" s="11" t="s">
        <v>9</v>
      </c>
      <c r="D114" s="8" t="s">
        <v>125</v>
      </c>
    </row>
    <row r="115" spans="2:4" x14ac:dyDescent="0.25">
      <c r="B115" s="7" t="s">
        <v>10</v>
      </c>
      <c r="C115" s="11" t="s">
        <v>11</v>
      </c>
      <c r="D115" s="8" t="s">
        <v>125</v>
      </c>
    </row>
    <row r="116" spans="2:4" x14ac:dyDescent="0.25">
      <c r="B116" s="7" t="s">
        <v>12</v>
      </c>
      <c r="C116" s="11" t="s">
        <v>13</v>
      </c>
      <c r="D116" s="8" t="s">
        <v>125</v>
      </c>
    </row>
    <row r="117" spans="2:4" x14ac:dyDescent="0.25">
      <c r="B117" s="7" t="s">
        <v>14</v>
      </c>
      <c r="C117" s="11" t="s">
        <v>15</v>
      </c>
      <c r="D117" s="8" t="s">
        <v>125</v>
      </c>
    </row>
    <row r="118" spans="2:4" x14ac:dyDescent="0.25">
      <c r="B118" s="7" t="s">
        <v>16</v>
      </c>
      <c r="C118" s="11" t="s">
        <v>17</v>
      </c>
      <c r="D118" s="8" t="s">
        <v>125</v>
      </c>
    </row>
    <row r="119" spans="2:4" x14ac:dyDescent="0.25">
      <c r="B119" s="7" t="s">
        <v>18</v>
      </c>
      <c r="C119" s="11" t="s">
        <v>19</v>
      </c>
      <c r="D119" s="8" t="s">
        <v>125</v>
      </c>
    </row>
    <row r="120" spans="2:4" x14ac:dyDescent="0.25">
      <c r="B120" s="7" t="s">
        <v>20</v>
      </c>
      <c r="C120" s="11" t="s">
        <v>21</v>
      </c>
      <c r="D120" s="8" t="s">
        <v>125</v>
      </c>
    </row>
    <row r="121" spans="2:4" x14ac:dyDescent="0.25">
      <c r="B121" s="7" t="s">
        <v>22</v>
      </c>
      <c r="C121" s="11" t="s">
        <v>23</v>
      </c>
      <c r="D121" s="8" t="s">
        <v>125</v>
      </c>
    </row>
    <row r="122" spans="2:4" x14ac:dyDescent="0.25">
      <c r="B122" s="7" t="s">
        <v>24</v>
      </c>
      <c r="C122" s="11" t="s">
        <v>25</v>
      </c>
      <c r="D122" s="8" t="s">
        <v>125</v>
      </c>
    </row>
    <row r="123" spans="2:4" x14ac:dyDescent="0.25">
      <c r="B123" s="7" t="s">
        <v>26</v>
      </c>
      <c r="C123" s="11" t="s">
        <v>27</v>
      </c>
      <c r="D123" s="8" t="s">
        <v>125</v>
      </c>
    </row>
    <row r="124" spans="2:4" x14ac:dyDescent="0.25">
      <c r="B124" s="7" t="s">
        <v>28</v>
      </c>
      <c r="C124" s="11" t="s">
        <v>29</v>
      </c>
      <c r="D124" s="8" t="s">
        <v>125</v>
      </c>
    </row>
    <row r="125" spans="2:4" x14ac:dyDescent="0.25">
      <c r="B125" s="7" t="s">
        <v>30</v>
      </c>
      <c r="C125" s="11" t="s">
        <v>31</v>
      </c>
      <c r="D125" s="8" t="s">
        <v>125</v>
      </c>
    </row>
    <row r="126" spans="2:4" x14ac:dyDescent="0.25">
      <c r="B126" s="7" t="s">
        <v>32</v>
      </c>
      <c r="C126" s="11" t="s">
        <v>33</v>
      </c>
      <c r="D126" s="8" t="s">
        <v>125</v>
      </c>
    </row>
    <row r="127" spans="2:4" x14ac:dyDescent="0.25">
      <c r="B127" s="7" t="s">
        <v>34</v>
      </c>
      <c r="C127" s="11" t="s">
        <v>35</v>
      </c>
      <c r="D127" s="8" t="s">
        <v>125</v>
      </c>
    </row>
    <row r="128" spans="2:4" x14ac:dyDescent="0.25">
      <c r="B128" s="7" t="s">
        <v>36</v>
      </c>
      <c r="C128" s="11" t="s">
        <v>37</v>
      </c>
      <c r="D128" s="8" t="s">
        <v>125</v>
      </c>
    </row>
    <row r="129" spans="2:4" x14ac:dyDescent="0.25">
      <c r="B129" s="7" t="s">
        <v>38</v>
      </c>
      <c r="C129" s="11" t="s">
        <v>39</v>
      </c>
      <c r="D129" s="8" t="s">
        <v>125</v>
      </c>
    </row>
    <row r="130" spans="2:4" x14ac:dyDescent="0.25">
      <c r="B130" s="7" t="s">
        <v>40</v>
      </c>
      <c r="C130" s="11" t="s">
        <v>41</v>
      </c>
      <c r="D130" s="8" t="s">
        <v>125</v>
      </c>
    </row>
    <row r="131" spans="2:4" x14ac:dyDescent="0.25">
      <c r="B131" s="7" t="s">
        <v>42</v>
      </c>
      <c r="C131" s="11" t="s">
        <v>43</v>
      </c>
      <c r="D131" s="8" t="s">
        <v>125</v>
      </c>
    </row>
    <row r="132" spans="2:4" x14ac:dyDescent="0.25">
      <c r="B132" s="7" t="s">
        <v>44</v>
      </c>
      <c r="C132" s="11" t="s">
        <v>45</v>
      </c>
      <c r="D132" s="8" t="s">
        <v>125</v>
      </c>
    </row>
    <row r="133" spans="2:4" x14ac:dyDescent="0.25">
      <c r="B133" s="7" t="s">
        <v>46</v>
      </c>
      <c r="C133" s="11" t="s">
        <v>47</v>
      </c>
      <c r="D133" s="8" t="s">
        <v>125</v>
      </c>
    </row>
    <row r="134" spans="2:4" x14ac:dyDescent="0.25">
      <c r="B134" s="7" t="s">
        <v>48</v>
      </c>
      <c r="C134" s="11" t="s">
        <v>49</v>
      </c>
      <c r="D134" s="8" t="s">
        <v>122</v>
      </c>
    </row>
    <row r="135" spans="2:4" x14ac:dyDescent="0.25">
      <c r="B135" s="7" t="s">
        <v>50</v>
      </c>
      <c r="C135" s="11" t="s">
        <v>51</v>
      </c>
      <c r="D135" s="8" t="s">
        <v>125</v>
      </c>
    </row>
    <row r="136" spans="2:4" x14ac:dyDescent="0.25">
      <c r="B136" s="7" t="s">
        <v>52</v>
      </c>
      <c r="C136" s="11" t="s">
        <v>53</v>
      </c>
      <c r="D136" s="8" t="s">
        <v>125</v>
      </c>
    </row>
    <row r="137" spans="2:4" x14ac:dyDescent="0.25">
      <c r="B137" s="7" t="s">
        <v>54</v>
      </c>
      <c r="C137" s="11" t="s">
        <v>55</v>
      </c>
      <c r="D137" s="8" t="s">
        <v>125</v>
      </c>
    </row>
    <row r="138" spans="2:4" x14ac:dyDescent="0.25">
      <c r="B138" s="7" t="s">
        <v>56</v>
      </c>
      <c r="C138" s="11" t="s">
        <v>57</v>
      </c>
      <c r="D138" s="8" t="s">
        <v>125</v>
      </c>
    </row>
    <row r="139" spans="2:4" x14ac:dyDescent="0.25">
      <c r="B139" s="7" t="s">
        <v>58</v>
      </c>
      <c r="C139" s="11" t="s">
        <v>59</v>
      </c>
      <c r="D139" s="8" t="s">
        <v>125</v>
      </c>
    </row>
    <row r="140" spans="2:4" x14ac:dyDescent="0.25">
      <c r="B140" s="7" t="s">
        <v>60</v>
      </c>
      <c r="C140" s="11" t="s">
        <v>61</v>
      </c>
      <c r="D140" s="8" t="s">
        <v>125</v>
      </c>
    </row>
    <row r="141" spans="2:4" x14ac:dyDescent="0.25">
      <c r="B141" s="7" t="s">
        <v>62</v>
      </c>
      <c r="C141" s="11" t="s">
        <v>63</v>
      </c>
      <c r="D141" s="8" t="s">
        <v>125</v>
      </c>
    </row>
    <row r="142" spans="2:4" x14ac:dyDescent="0.25">
      <c r="B142" s="7" t="s">
        <v>64</v>
      </c>
      <c r="C142" s="11" t="s">
        <v>65</v>
      </c>
      <c r="D142" s="8" t="s">
        <v>125</v>
      </c>
    </row>
    <row r="143" spans="2:4" x14ac:dyDescent="0.25">
      <c r="B143" s="7" t="s">
        <v>66</v>
      </c>
      <c r="C143" s="11" t="s">
        <v>67</v>
      </c>
      <c r="D143" s="8" t="s">
        <v>125</v>
      </c>
    </row>
    <row r="144" spans="2:4" x14ac:dyDescent="0.25">
      <c r="B144" s="7" t="s">
        <v>68</v>
      </c>
      <c r="C144" s="11" t="s">
        <v>69</v>
      </c>
      <c r="D144" s="8" t="s">
        <v>125</v>
      </c>
    </row>
    <row r="145" spans="2:4" x14ac:dyDescent="0.25">
      <c r="B145" s="7" t="s">
        <v>70</v>
      </c>
      <c r="C145" s="11" t="s">
        <v>71</v>
      </c>
      <c r="D145" s="8" t="s">
        <v>125</v>
      </c>
    </row>
    <row r="146" spans="2:4" x14ac:dyDescent="0.25">
      <c r="B146" s="7" t="s">
        <v>72</v>
      </c>
      <c r="C146" s="11" t="s">
        <v>73</v>
      </c>
      <c r="D146" s="8" t="s">
        <v>125</v>
      </c>
    </row>
    <row r="147" spans="2:4" x14ac:dyDescent="0.25">
      <c r="B147" s="7" t="s">
        <v>74</v>
      </c>
      <c r="C147" s="11" t="s">
        <v>75</v>
      </c>
      <c r="D147" s="8" t="s">
        <v>125</v>
      </c>
    </row>
    <row r="148" spans="2:4" x14ac:dyDescent="0.25">
      <c r="B148" s="7" t="s">
        <v>76</v>
      </c>
      <c r="C148" s="11" t="s">
        <v>77</v>
      </c>
      <c r="D148" s="8" t="s">
        <v>125</v>
      </c>
    </row>
    <row r="149" spans="2:4" x14ac:dyDescent="0.25">
      <c r="B149" s="7" t="s">
        <v>78</v>
      </c>
      <c r="C149" s="11" t="s">
        <v>79</v>
      </c>
      <c r="D149" s="8" t="s">
        <v>125</v>
      </c>
    </row>
    <row r="150" spans="2:4" x14ac:dyDescent="0.25">
      <c r="B150" s="7" t="s">
        <v>80</v>
      </c>
      <c r="C150" s="11" t="s">
        <v>81</v>
      </c>
      <c r="D150" s="8" t="s">
        <v>125</v>
      </c>
    </row>
    <row r="151" spans="2:4" x14ac:dyDescent="0.25">
      <c r="B151" s="7" t="s">
        <v>82</v>
      </c>
      <c r="C151" s="11" t="s">
        <v>83</v>
      </c>
      <c r="D151" s="8" t="s">
        <v>125</v>
      </c>
    </row>
    <row r="152" spans="2:4" x14ac:dyDescent="0.25">
      <c r="B152" s="7" t="s">
        <v>84</v>
      </c>
      <c r="C152" s="11" t="s">
        <v>85</v>
      </c>
      <c r="D152" s="8" t="s">
        <v>125</v>
      </c>
    </row>
    <row r="153" spans="2:4" x14ac:dyDescent="0.25">
      <c r="B153" s="7" t="s">
        <v>86</v>
      </c>
      <c r="C153" s="11" t="s">
        <v>87</v>
      </c>
      <c r="D153" s="8" t="s">
        <v>125</v>
      </c>
    </row>
    <row r="154" spans="2:4" x14ac:dyDescent="0.25">
      <c r="B154" s="7" t="s">
        <v>88</v>
      </c>
      <c r="C154" s="11" t="s">
        <v>89</v>
      </c>
      <c r="D154" s="8" t="s">
        <v>125</v>
      </c>
    </row>
    <row r="155" spans="2:4" x14ac:dyDescent="0.25">
      <c r="B155" s="7" t="s">
        <v>90</v>
      </c>
      <c r="C155" s="11" t="s">
        <v>91</v>
      </c>
      <c r="D155" s="8" t="s">
        <v>125</v>
      </c>
    </row>
    <row r="156" spans="2:4" x14ac:dyDescent="0.25">
      <c r="B156" s="7" t="s">
        <v>92</v>
      </c>
      <c r="C156" s="11" t="s">
        <v>93</v>
      </c>
      <c r="D156" s="8" t="s">
        <v>125</v>
      </c>
    </row>
    <row r="157" spans="2:4" x14ac:dyDescent="0.25">
      <c r="B157" s="7" t="s">
        <v>94</v>
      </c>
      <c r="C157" s="11" t="s">
        <v>95</v>
      </c>
      <c r="D157" s="8" t="s">
        <v>125</v>
      </c>
    </row>
    <row r="158" spans="2:4" x14ac:dyDescent="0.25">
      <c r="B158" s="7" t="s">
        <v>96</v>
      </c>
      <c r="C158" s="11" t="s">
        <v>97</v>
      </c>
      <c r="D158" s="8" t="s">
        <v>125</v>
      </c>
    </row>
    <row r="159" spans="2:4" x14ac:dyDescent="0.25">
      <c r="B159" s="7" t="s">
        <v>98</v>
      </c>
      <c r="C159" s="11" t="s">
        <v>99</v>
      </c>
      <c r="D159" s="8" t="s">
        <v>125</v>
      </c>
    </row>
    <row r="160" spans="2:4" x14ac:dyDescent="0.25">
      <c r="B160" s="7" t="s">
        <v>100</v>
      </c>
      <c r="C160" s="11" t="s">
        <v>101</v>
      </c>
      <c r="D160" s="8" t="s">
        <v>125</v>
      </c>
    </row>
    <row r="161" spans="2:4" x14ac:dyDescent="0.25">
      <c r="B161" s="9" t="s">
        <v>102</v>
      </c>
      <c r="C161" s="12" t="s">
        <v>103</v>
      </c>
      <c r="D161" s="8" t="s">
        <v>122</v>
      </c>
    </row>
  </sheetData>
  <phoneticPr fontId="10" type="noConversion"/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2" r:id="rId4" name="Button 6">
              <controlPr defaultSize="0" print="0" autoFill="0" autoPict="0" macro="[0]!CountWcagOccurrences">
                <anchor moveWithCells="1">
                  <from>
                    <xdr:col>7</xdr:col>
                    <xdr:colOff>504825</xdr:colOff>
                    <xdr:row>2</xdr:row>
                    <xdr:rowOff>19050</xdr:rowOff>
                  </from>
                  <to>
                    <xdr:col>9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3" r:id="rId5" name="Button 7">
              <controlPr defaultSize="0" print="0" autoFill="0" autoPict="0" macro="[0]!CreateTable">
                <anchor moveWithCells="1">
                  <from>
                    <xdr:col>10</xdr:col>
                    <xdr:colOff>457200</xdr:colOff>
                    <xdr:row>2</xdr:row>
                    <xdr:rowOff>28575</xdr:rowOff>
                  </from>
                  <to>
                    <xdr:col>10</xdr:col>
                    <xdr:colOff>1857375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28"/>
  <sheetViews>
    <sheetView workbookViewId="0">
      <selection activeCell="E24" sqref="E24"/>
    </sheetView>
  </sheetViews>
  <sheetFormatPr defaultRowHeight="15" x14ac:dyDescent="0.25"/>
  <cols>
    <col min="2" max="2" width="74.42578125" bestFit="1" customWidth="1"/>
    <col min="3" max="3" width="57.42578125" customWidth="1"/>
    <col min="5" max="5" width="25.7109375" customWidth="1"/>
    <col min="6" max="6" width="36.7109375" customWidth="1"/>
  </cols>
  <sheetData>
    <row r="1" spans="2:6" ht="15.75" customHeight="1" thickBot="1" x14ac:dyDescent="0.3"/>
    <row r="2" spans="2:6" x14ac:dyDescent="0.25">
      <c r="B2" s="23" t="s">
        <v>151</v>
      </c>
    </row>
    <row r="3" spans="2:6" ht="15.75" customHeight="1" thickBot="1" x14ac:dyDescent="0.3">
      <c r="B3" s="22"/>
    </row>
    <row r="4" spans="2:6" ht="15.75" customHeight="1" thickBot="1" x14ac:dyDescent="0.3"/>
    <row r="5" spans="2:6" ht="15.75" customHeight="1" thickBot="1" x14ac:dyDescent="0.3">
      <c r="B5" s="16" t="s">
        <v>126</v>
      </c>
      <c r="C5" s="17"/>
      <c r="E5" s="27" t="s">
        <v>127</v>
      </c>
      <c r="F5" s="18" t="s">
        <v>149</v>
      </c>
    </row>
    <row r="6" spans="2:6" ht="14.45" customHeight="1" thickBot="1" x14ac:dyDescent="0.3">
      <c r="B6" s="24" t="s">
        <v>150</v>
      </c>
      <c r="C6" s="20" t="s">
        <v>156</v>
      </c>
      <c r="E6" s="28"/>
      <c r="F6" s="19"/>
    </row>
    <row r="7" spans="2:6" x14ac:dyDescent="0.25">
      <c r="B7" s="25"/>
      <c r="C7" s="21"/>
    </row>
    <row r="8" spans="2:6" x14ac:dyDescent="0.25">
      <c r="B8" s="25"/>
      <c r="C8" s="21"/>
    </row>
    <row r="9" spans="2:6" x14ac:dyDescent="0.25">
      <c r="B9" s="25"/>
      <c r="C9" s="21"/>
    </row>
    <row r="10" spans="2:6" x14ac:dyDescent="0.25">
      <c r="B10" s="25"/>
      <c r="C10" s="21"/>
    </row>
    <row r="11" spans="2:6" x14ac:dyDescent="0.25">
      <c r="B11" s="25"/>
      <c r="C11" s="21"/>
    </row>
    <row r="12" spans="2:6" ht="30.95" customHeight="1" thickBot="1" x14ac:dyDescent="0.3">
      <c r="B12" s="26"/>
      <c r="C12" s="22"/>
    </row>
    <row r="14" spans="2:6" ht="15.75" customHeight="1" x14ac:dyDescent="0.25"/>
    <row r="28" ht="15.75" customHeight="1" x14ac:dyDescent="0.25"/>
  </sheetData>
  <mergeCells count="6">
    <mergeCell ref="B5:C5"/>
    <mergeCell ref="F5:F6"/>
    <mergeCell ref="C6:C12"/>
    <mergeCell ref="B2:B3"/>
    <mergeCell ref="B6:B12"/>
    <mergeCell ref="E5:E6"/>
  </mergeCells>
  <phoneticPr fontId="10" type="noConversion"/>
  <dataValidations count="2">
    <dataValidation type="custom" errorStyle="warning" allowBlank="1" showInputMessage="1" showErrorMessage="1" errorTitle="Check the SheetName" error="Check the Contraint and Make sure You Entered the Correct Input. " promptTitle="Keep these Constraints in mind" prompt="The worksheet name must be unique. The worksheet name must not exceed 31 characters.The worksheet name must not contain the following symbols: , /, ?, :, *, [ or ]. The worksheet name must not start and end with a single quote (‘)." sqref="F1:F6" xr:uid="{2FBDD4B3-D16C-4BCA-95F3-3A2A92CC1DC0}">
      <formula1>AND(LEN(A1)&lt;=31, COUNTIF(A:A, A1)=1, ISERROR(FIND("I",A1)), ISERROR(FIND("?",A1)), ISERROR(FIND("*",A1)), ISERROR(FIND("[",A1)), ISERROR(FIND("]",A1)))</formula1>
    </dataValidation>
    <dataValidation type="custom" errorStyle="warning" allowBlank="1" showInputMessage="1" showErrorMessage="1" errorTitle="Check the SheetName" error="Check the Contraint and Make sure You Entered the Correct Input. " promptTitle="Keep these Constraints in mind" prompt="The worksheet name must be unique. The worksheet name must not exceed 31 characters.The worksheet name must not contain the following symbols: , /, ?, :, *, [ or ]. The worksheet name must not start and end with a single quote (‘)." sqref="F7:F1048576" xr:uid="{31EF4417-45C2-4CD0-9EA0-207C4ECC2503}">
      <formula1>AND(LEN(A15)&lt;=31, COUNTIF(A:A, A15)=1, ISERROR(FIND("I",A15)), ISERROR(FIND("?",A15)), ISERROR(FIND("*",A15)), ISERROR(FIND("[",A15)), ISERROR(FIND("]",A15)))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CreateSheetsAndCopyData">
                <anchor moveWithCells="1">
                  <from>
                    <xdr:col>2</xdr:col>
                    <xdr:colOff>3286125</xdr:colOff>
                    <xdr:row>0</xdr:row>
                    <xdr:rowOff>190500</xdr:rowOff>
                  </from>
                  <to>
                    <xdr:col>3</xdr:col>
                    <xdr:colOff>561975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"/>
  <sheetViews>
    <sheetView tabSelected="1" zoomScale="85" zoomScaleNormal="85" workbookViewId="0">
      <selection activeCell="G29" sqref="G29"/>
    </sheetView>
  </sheetViews>
  <sheetFormatPr defaultColWidth="9.140625" defaultRowHeight="15" x14ac:dyDescent="0.25"/>
  <cols>
    <col min="1" max="1" width="28.28515625" style="1" customWidth="1"/>
    <col min="2" max="2" width="18" style="1" customWidth="1"/>
    <col min="3" max="3" width="14.42578125" style="1" customWidth="1"/>
    <col min="4" max="4" width="13.28515625" style="1" customWidth="1"/>
    <col min="5" max="5" width="11" style="1" customWidth="1"/>
    <col min="6" max="6" width="14.42578125" style="1" customWidth="1"/>
    <col min="7" max="7" width="18.5703125" style="1" customWidth="1"/>
    <col min="8" max="8" width="19.140625" style="1" customWidth="1"/>
    <col min="9" max="9" width="16.7109375" style="1" customWidth="1"/>
    <col min="10" max="11" width="10.140625" style="1" customWidth="1"/>
    <col min="12" max="12" width="17.5703125" style="1" customWidth="1"/>
    <col min="13" max="13" width="16" style="1" customWidth="1"/>
    <col min="14" max="14" width="14" style="1" customWidth="1"/>
    <col min="15" max="15" width="10.42578125" style="1" customWidth="1"/>
    <col min="16" max="16" width="10.5703125" style="1" customWidth="1"/>
    <col min="17" max="17" width="10.42578125" style="1" customWidth="1"/>
    <col min="18" max="18" width="9.5703125" style="1" customWidth="1"/>
    <col min="19" max="16384" width="9.140625" style="1"/>
  </cols>
  <sheetData>
    <row r="1" spans="1:18" ht="15.75" customHeight="1" thickBot="1" x14ac:dyDescent="0.3"/>
    <row r="2" spans="1:18" x14ac:dyDescent="0.25">
      <c r="A2" s="27" t="s">
        <v>128</v>
      </c>
      <c r="B2" s="29" t="s">
        <v>129</v>
      </c>
      <c r="C2" s="31"/>
      <c r="D2" s="31"/>
      <c r="E2" s="30"/>
      <c r="F2" s="29" t="s">
        <v>130</v>
      </c>
      <c r="G2" s="30"/>
      <c r="H2" s="29" t="s">
        <v>131</v>
      </c>
      <c r="I2" s="31"/>
      <c r="J2" s="31"/>
      <c r="K2" s="31"/>
      <c r="L2" s="31"/>
      <c r="M2" s="31"/>
      <c r="N2" s="30"/>
      <c r="O2" s="29" t="s">
        <v>132</v>
      </c>
      <c r="P2" s="31"/>
      <c r="Q2" s="31"/>
      <c r="R2" s="32"/>
    </row>
    <row r="3" spans="1:18" x14ac:dyDescent="0.25">
      <c r="A3" s="33"/>
      <c r="B3" s="2" t="s">
        <v>133</v>
      </c>
      <c r="C3" s="2" t="s">
        <v>134</v>
      </c>
      <c r="D3" s="2" t="s">
        <v>135</v>
      </c>
      <c r="E3" s="2" t="s">
        <v>136</v>
      </c>
      <c r="F3" s="14" t="s">
        <v>137</v>
      </c>
      <c r="G3" s="14" t="s">
        <v>138</v>
      </c>
      <c r="H3" s="14" t="s">
        <v>114</v>
      </c>
      <c r="I3" s="14" t="s">
        <v>115</v>
      </c>
      <c r="J3" s="14" t="s">
        <v>116</v>
      </c>
      <c r="K3" s="14" t="s">
        <v>117</v>
      </c>
      <c r="L3" s="14" t="s">
        <v>118</v>
      </c>
      <c r="M3" s="14" t="s">
        <v>119</v>
      </c>
      <c r="N3" s="14" t="s">
        <v>120</v>
      </c>
      <c r="O3" s="14" t="s">
        <v>105</v>
      </c>
      <c r="P3" s="14" t="s">
        <v>106</v>
      </c>
      <c r="Q3" s="14" t="s">
        <v>107</v>
      </c>
      <c r="R3" s="15" t="s">
        <v>108</v>
      </c>
    </row>
  </sheetData>
  <mergeCells count="5">
    <mergeCell ref="F2:G2"/>
    <mergeCell ref="H2:N2"/>
    <mergeCell ref="O2:R2"/>
    <mergeCell ref="A2:A3"/>
    <mergeCell ref="B2:E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BC85-EFE6-489A-8080-7ED58E9BC452}">
  <sheetPr codeName="Sheet4"/>
  <dimension ref="A1:L1"/>
  <sheetViews>
    <sheetView workbookViewId="0">
      <selection activeCell="C42" sqref="C42"/>
    </sheetView>
  </sheetViews>
  <sheetFormatPr defaultColWidth="8.5703125" defaultRowHeight="15" x14ac:dyDescent="0.25"/>
  <cols>
    <col min="1" max="1" width="5.5703125" customWidth="1"/>
    <col min="2" max="2" width="59" customWidth="1"/>
    <col min="3" max="3" width="53.140625" customWidth="1"/>
    <col min="4" max="4" width="47.85546875" customWidth="1"/>
    <col min="5" max="5" width="51" customWidth="1"/>
    <col min="6" max="6" width="52" customWidth="1"/>
    <col min="7" max="7" width="11.42578125" customWidth="1"/>
    <col min="8" max="8" width="17.5703125" customWidth="1"/>
    <col min="9" max="9" width="12.85546875" customWidth="1"/>
    <col min="10" max="10" width="11.140625" customWidth="1"/>
    <col min="11" max="11" width="18.140625" bestFit="1" customWidth="1"/>
    <col min="12" max="12" width="14.85546875" bestFit="1" customWidth="1"/>
  </cols>
  <sheetData>
    <row r="1" spans="1:12" s="3" customFormat="1" x14ac:dyDescent="0.25">
      <c r="A1" s="13" t="s">
        <v>139</v>
      </c>
      <c r="B1" s="13" t="s">
        <v>140</v>
      </c>
      <c r="C1" s="13" t="s">
        <v>141</v>
      </c>
      <c r="D1" s="13" t="s">
        <v>142</v>
      </c>
      <c r="E1" s="13" t="s">
        <v>143</v>
      </c>
      <c r="F1" s="13" t="s">
        <v>144</v>
      </c>
      <c r="G1" s="13" t="s">
        <v>145</v>
      </c>
      <c r="H1" s="13" t="s">
        <v>111</v>
      </c>
      <c r="I1" s="13" t="s">
        <v>146</v>
      </c>
      <c r="J1" s="13" t="s">
        <v>147</v>
      </c>
      <c r="K1" s="13" t="s">
        <v>148</v>
      </c>
      <c r="L1" s="13" t="s">
        <v>126</v>
      </c>
    </row>
  </sheetData>
  <dataValidations count="2">
    <dataValidation type="list" allowBlank="1" showInputMessage="1" showErrorMessage="1" sqref="J1:J1048576" xr:uid="{5B6FB9C4-A5F2-44AF-9DD0-CE34C9ED070A}">
      <formula1>"Yes,No"</formula1>
    </dataValidation>
    <dataValidation type="list" allowBlank="1" showInputMessage="1" showErrorMessage="1" sqref="L1:L1048576" xr:uid="{7CC10CD0-8B05-4C15-91F1-609BABBC37B0}">
      <formula1>"dWeb,mWeb,Web"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E7C356D-AC81-47B6-BD11-F48404C2DEAC}">
          <x14:formula1>
            <xm:f>'Data &amp; Chart'!$D$89:$J$89</xm:f>
          </x14:formula1>
          <xm:sqref>K1:K1048576</xm:sqref>
        </x14:dataValidation>
        <x14:dataValidation type="list" allowBlank="1" showInputMessage="1" showErrorMessage="1" xr:uid="{0CD7367B-2CA3-46C4-AC69-5FFB1D2F160F}">
          <x14:formula1>
            <xm:f>'Data &amp; Chart'!$D$59:$G$59</xm:f>
          </x14:formula1>
          <xm:sqref>I1:I1048576</xm:sqref>
        </x14:dataValidation>
        <x14:dataValidation type="list" allowBlank="1" showInputMessage="1" showErrorMessage="1" xr:uid="{030D231E-7D0C-49FF-89C7-2C12CB25A0EC}">
          <x14:formula1>
            <xm:f>'Data &amp; Chart'!$B$112:$B$161</xm:f>
          </x14:formula1>
          <xm:sqref>G1:G1048576</xm:sqref>
        </x14:dataValidation>
        <x14:dataValidation type="list" allowBlank="1" showInputMessage="1" showErrorMessage="1" xr:uid="{35DD5AC8-926E-4A1D-ABB7-F81F84BB4868}">
          <x14:formula1>
            <xm:f>'Data &amp; Chart'!$D$74:$E$74</xm:f>
          </x14:formula1>
          <xm:sqref>H1:H1048576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2F26B4F098FF4D8DC6621E9A5D57DC" ma:contentTypeVersion="11" ma:contentTypeDescription="Create a new document." ma:contentTypeScope="" ma:versionID="0a9232bab1beae9f527f9453b7894909">
  <xsd:schema xmlns:xsd="http://www.w3.org/2001/XMLSchema" xmlns:xs="http://www.w3.org/2001/XMLSchema" xmlns:p="http://schemas.microsoft.com/office/2006/metadata/properties" xmlns:ns2="f6f57897-772d-4797-ad74-4a9171648985" xmlns:ns3="85a2c4f7-8761-4015-b374-7f35505ab52e" targetNamespace="http://schemas.microsoft.com/office/2006/metadata/properties" ma:root="true" ma:fieldsID="59ac0770cad2b174884c2be7eebc46a7" ns2:_="" ns3:_="">
    <xsd:import namespace="f6f57897-772d-4797-ad74-4a9171648985"/>
    <xsd:import namespace="85a2c4f7-8761-4015-b374-7f35505ab5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f57897-772d-4797-ad74-4a91716489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1b5e2f6-1ac1-4290-b6a8-6d271431a0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a2c4f7-8761-4015-b374-7f35505ab52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ef08326-4aba-4ac7-9b14-b20e9be51e2d}" ma:internalName="TaxCatchAll" ma:showField="CatchAllData" ma:web="85a2c4f7-8761-4015-b374-7f35505ab52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226FF5-4E7D-48C5-ACB7-5F39F3380B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f57897-772d-4797-ad74-4a9171648985"/>
    <ds:schemaRef ds:uri="85a2c4f7-8761-4015-b374-7f35505ab5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83A70B-6A2F-4E62-A750-FF24BAF911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&amp; Chart</vt:lpstr>
      <vt:lpstr>Scope &amp; Enviornment</vt:lpstr>
      <vt:lpstr>Execution Summary</vt:lpstr>
      <vt:lpstr>Temp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Jain, Ashish</dc:creator>
  <cp:keywords/>
  <dc:description/>
  <cp:lastModifiedBy>KHUSHWANT PARIHAR</cp:lastModifiedBy>
  <cp:revision/>
  <dcterms:created xsi:type="dcterms:W3CDTF">2022-05-30T04:57:01Z</dcterms:created>
  <dcterms:modified xsi:type="dcterms:W3CDTF">2024-01-30T05:50:21Z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2023-02-17T10:20:04Z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d777e72d-bdbc-4b06-934a-6a8ed7fd02c4</vt:lpwstr>
  </property>
  <property fmtid="{D5CDD505-2E9C-101B-9397-08002B2CF9AE}" pid="8" name="MSIP_Label_9e1e58c1-766d-4ff4-9619-b604fc37898b_ContentBits">
    <vt:lpwstr>0</vt:lpwstr>
  </property>
  <property fmtid="{D5CDD505-2E9C-101B-9397-08002B2CF9AE}" pid="9" name="MSIP_Label_defa4170-0d19-0005-0004-bc88714345d2_Enabled">
    <vt:lpwstr>true</vt:lpwstr>
  </property>
  <property fmtid="{D5CDD505-2E9C-101B-9397-08002B2CF9AE}" pid="10" name="MSIP_Label_defa4170-0d19-0005-0004-bc88714345d2_SetDate">
    <vt:lpwstr>2023-03-02T11:58:05Z</vt:lpwstr>
  </property>
  <property fmtid="{D5CDD505-2E9C-101B-9397-08002B2CF9AE}" pid="11" name="MSIP_Label_defa4170-0d19-0005-0004-bc88714345d2_Method">
    <vt:lpwstr>Standard</vt:lpwstr>
  </property>
  <property fmtid="{D5CDD505-2E9C-101B-9397-08002B2CF9AE}" pid="12" name="MSIP_Label_defa4170-0d19-0005-0004-bc88714345d2_Name">
    <vt:lpwstr>defa4170-0d19-0005-0004-bc88714345d2</vt:lpwstr>
  </property>
  <property fmtid="{D5CDD505-2E9C-101B-9397-08002B2CF9AE}" pid="13" name="MSIP_Label_defa4170-0d19-0005-0004-bc88714345d2_SiteId">
    <vt:lpwstr>9831da1d-5b64-4c30-a284-da88b8bf4d2a</vt:lpwstr>
  </property>
  <property fmtid="{D5CDD505-2E9C-101B-9397-08002B2CF9AE}" pid="14" name="MSIP_Label_defa4170-0d19-0005-0004-bc88714345d2_ActionId">
    <vt:lpwstr>afd77a6f-3792-4d27-887b-445f65504f1b</vt:lpwstr>
  </property>
  <property fmtid="{D5CDD505-2E9C-101B-9397-08002B2CF9AE}" pid="15" name="MSIP_Label_defa4170-0d19-0005-0004-bc88714345d2_ContentBits">
    <vt:lpwstr>0</vt:lpwstr>
  </property>
</Properties>
</file>