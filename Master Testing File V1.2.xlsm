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49fbc38b96c9f161/Documents/Automation/"/>
    </mc:Choice>
  </mc:AlternateContent>
  <xr:revisionPtr revIDLastSave="0" documentId="8_{4C45319F-AAAE-47A3-A4CE-0070D1D963E3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Data &amp; Chart" sheetId="1" r:id="rId1"/>
    <sheet name="Scope &amp; Enviornment" sheetId="2" r:id="rId2"/>
    <sheet name="Execution Summary" sheetId="3" r:id="rId3"/>
    <sheet name="Temp" sheetId="49" r:id="rId4"/>
  </sheets>
  <definedNames>
    <definedName name="_xlnm._FilterDatabase" localSheetId="2" hidden="1">'Execution Summary'!$A$3:$R$3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05" i="1" l="1"/>
  <c r="E105" i="1"/>
  <c r="D105" i="1"/>
  <c r="J90" i="1" l="1"/>
  <c r="E75" i="1" l="1"/>
  <c r="D75" i="1"/>
  <c r="G90" i="1"/>
  <c r="H90" i="1"/>
  <c r="I90" i="1"/>
  <c r="E90" i="1"/>
  <c r="D90" i="1"/>
  <c r="F90" i="1"/>
  <c r="D60" i="1"/>
  <c r="F60" i="1"/>
  <c r="G60" i="1"/>
  <c r="E60" i="1"/>
</calcChain>
</file>

<file path=xl/sharedStrings.xml><?xml version="1.0" encoding="utf-8"?>
<sst xmlns="http://schemas.openxmlformats.org/spreadsheetml/2006/main" count="274" uniqueCount="154">
  <si>
    <t>WCAG Rule Wise Defect Distribution Chart</t>
  </si>
  <si>
    <t>WCAG</t>
  </si>
  <si>
    <t>WCAG SC</t>
  </si>
  <si>
    <t>No of occurence</t>
  </si>
  <si>
    <t>1.1.1</t>
  </si>
  <si>
    <t>1.1.1 Non Text Content</t>
  </si>
  <si>
    <t>1.2.1</t>
  </si>
  <si>
    <t>1.2.1 Audio-only and Video-only (Prerecorded)</t>
  </si>
  <si>
    <t>1.2.2</t>
  </si>
  <si>
    <t>1.2.2 Captions</t>
  </si>
  <si>
    <t>1.2.3</t>
  </si>
  <si>
    <t>1.2.3 Audio Descriptions and Media Alternative (Prerecorded)</t>
  </si>
  <si>
    <t>1.2.4</t>
  </si>
  <si>
    <t>1.2.4 Captions (Live)</t>
  </si>
  <si>
    <t>1.2.5</t>
  </si>
  <si>
    <t>1.2.5 Audio Description (Prerecorded)</t>
  </si>
  <si>
    <t>1.3.1</t>
  </si>
  <si>
    <t>1.3.1 Info and Relationship</t>
  </si>
  <si>
    <t>1.3.2</t>
  </si>
  <si>
    <t>1.3.2 Meaningful Sequence</t>
  </si>
  <si>
    <t>1.3.3</t>
  </si>
  <si>
    <t>1.3.3 Sensory Characteristics</t>
  </si>
  <si>
    <t>1.3.4</t>
  </si>
  <si>
    <t>1.3.4 Orientation</t>
  </si>
  <si>
    <t>1.3.5</t>
  </si>
  <si>
    <t>1.3.5 Identify Input Purpose</t>
  </si>
  <si>
    <t>1.4.1</t>
  </si>
  <si>
    <t>1.4.1 Use of Color</t>
  </si>
  <si>
    <t>1.4.2</t>
  </si>
  <si>
    <t>1.4.2 Audio Control</t>
  </si>
  <si>
    <t>1.4.3</t>
  </si>
  <si>
    <t>1.4.3 Contrast (Minimum)</t>
  </si>
  <si>
    <t>1.4.4</t>
  </si>
  <si>
    <t>1.4.4 Resize Text</t>
  </si>
  <si>
    <t>1.4.5</t>
  </si>
  <si>
    <t>1.4.5 Image of Text</t>
  </si>
  <si>
    <t>1.4.10</t>
  </si>
  <si>
    <t>1.4.10 Reflow</t>
  </si>
  <si>
    <t>1.4.11</t>
  </si>
  <si>
    <t>1.4.11 Non Text Contrast</t>
  </si>
  <si>
    <t>1.4.12</t>
  </si>
  <si>
    <t>1.4.12 Text Spacing</t>
  </si>
  <si>
    <t>1.4.13</t>
  </si>
  <si>
    <t>1.4.13 Content on Hover or Focus</t>
  </si>
  <si>
    <t>2.1.1</t>
  </si>
  <si>
    <t>2.1.1 Keyboard</t>
  </si>
  <si>
    <t>2.1.2</t>
  </si>
  <si>
    <t>2.1.2 No Keyboard Trap</t>
  </si>
  <si>
    <t>2.1.4</t>
  </si>
  <si>
    <t>2.1.4 Character Key Shortcut</t>
  </si>
  <si>
    <t>2.2.1</t>
  </si>
  <si>
    <t>2.2.1 Timing Adjustable</t>
  </si>
  <si>
    <t>2.2.2</t>
  </si>
  <si>
    <t>2.2.2 Pause, Stop, Hide</t>
  </si>
  <si>
    <t>2.3.1</t>
  </si>
  <si>
    <t>2.3.1 Three Flashes or Below Threshold</t>
  </si>
  <si>
    <t>2.4.1</t>
  </si>
  <si>
    <t>2.4.1 Bypass Block</t>
  </si>
  <si>
    <t>2.4.2</t>
  </si>
  <si>
    <t>2.4.2 Page Titled</t>
  </si>
  <si>
    <t>2.4.3</t>
  </si>
  <si>
    <t>2.4.3 Focus Order</t>
  </si>
  <si>
    <t>2.4.4</t>
  </si>
  <si>
    <t>2.4.4 Link Purpose (In Context)</t>
  </si>
  <si>
    <t>2.4.5</t>
  </si>
  <si>
    <t>2.4.5 Multiple Ways</t>
  </si>
  <si>
    <t>2.4.6</t>
  </si>
  <si>
    <t>2.4.6 Headings and Labels</t>
  </si>
  <si>
    <t>2.4.7</t>
  </si>
  <si>
    <t>2.4.7 Focus Visible</t>
  </si>
  <si>
    <t>2.5.1</t>
  </si>
  <si>
    <t>2.5.1 Pointer Gestures</t>
  </si>
  <si>
    <t>2.5.2</t>
  </si>
  <si>
    <t>2.5.2 Pointer Cancellation</t>
  </si>
  <si>
    <t>2.5.3</t>
  </si>
  <si>
    <t>2.5.3 Label in Name</t>
  </si>
  <si>
    <t>2.5.4</t>
  </si>
  <si>
    <t>2.5.4 Motion Actuation</t>
  </si>
  <si>
    <t>3.1.1</t>
  </si>
  <si>
    <t>3.1.1 Language of Page</t>
  </si>
  <si>
    <t>3.1.2</t>
  </si>
  <si>
    <t>3.1.2 Language of Parts</t>
  </si>
  <si>
    <t>3.2.1</t>
  </si>
  <si>
    <t>3.2.1 On Focus</t>
  </si>
  <si>
    <t>3.2.2</t>
  </si>
  <si>
    <t>3.2.2 On Input</t>
  </si>
  <si>
    <t>3.2.3</t>
  </si>
  <si>
    <t>3.2.3 Consistent Navigation</t>
  </si>
  <si>
    <t>3.2.4</t>
  </si>
  <si>
    <t>3.2.4 Consistent Identification</t>
  </si>
  <si>
    <t>3.3.1</t>
  </si>
  <si>
    <t>3.3.1 Error Identification</t>
  </si>
  <si>
    <t>3.3.2</t>
  </si>
  <si>
    <t>3.3.2 Label or Instructions</t>
  </si>
  <si>
    <t>3.3.3</t>
  </si>
  <si>
    <t>3.3.3 Error Suggestion</t>
  </si>
  <si>
    <t>3.3.4</t>
  </si>
  <si>
    <t>3.3.4 Error Prevention (Legal, Financial, Data)</t>
  </si>
  <si>
    <t>4.1.1</t>
  </si>
  <si>
    <t>4.1.1 Parsing</t>
  </si>
  <si>
    <t>4.1.2</t>
  </si>
  <si>
    <t>4.1.2 Name, Role, Value</t>
  </si>
  <si>
    <t>4.1.3</t>
  </si>
  <si>
    <t>4.1.3 Status Message</t>
  </si>
  <si>
    <t>Severity/Impact Wise Defect Distribution</t>
  </si>
  <si>
    <t>Column1</t>
  </si>
  <si>
    <t>Critical</t>
  </si>
  <si>
    <t>High</t>
  </si>
  <si>
    <t>Medium</t>
  </si>
  <si>
    <t>Low</t>
  </si>
  <si>
    <t>Defect count</t>
  </si>
  <si>
    <t>Conformance Level Wise Defect Distribution</t>
  </si>
  <si>
    <t>Conformance Level</t>
  </si>
  <si>
    <t>A</t>
  </si>
  <si>
    <t>AA</t>
  </si>
  <si>
    <t>Keyboard Navigation</t>
  </si>
  <si>
    <t>Color Contrast</t>
  </si>
  <si>
    <t>Color</t>
  </si>
  <si>
    <t>Zoom</t>
  </si>
  <si>
    <t>HTML Validator</t>
  </si>
  <si>
    <t>Screen Reader</t>
  </si>
  <si>
    <t>Other A11y</t>
  </si>
  <si>
    <t>Result</t>
  </si>
  <si>
    <t>Fail</t>
  </si>
  <si>
    <t>Pass</t>
  </si>
  <si>
    <t>N/A</t>
  </si>
  <si>
    <t>Review</t>
  </si>
  <si>
    <t>Environment</t>
  </si>
  <si>
    <r>
      <t xml:space="preserve">Platform / OS: Android, iOS (mWeb)
Browser: Chrome, Safari
Test URL: </t>
    </r>
    <r>
      <rPr>
        <sz val="10"/>
        <rFont val="Calibri"/>
        <family val="2"/>
      </rPr>
      <t>https://b840-d1-consumer-d1lfi-core-qa05.d1.dev.fiscloudservices.com/LCDDigitalOneConsumer</t>
    </r>
    <r>
      <rPr>
        <b/>
        <sz val="10"/>
        <rFont val="Calibri"/>
        <family val="2"/>
      </rPr>
      <t xml:space="preserve">
AT (Screen Reader): TalkBack, VoiceOver
Automation Accessibility Tools: NA
Browser + AT Combination: TalkBack+Chrome, iOS VoiceOver + Safari</t>
    </r>
  </si>
  <si>
    <t>Scope</t>
  </si>
  <si>
    <t>Pages / Flows</t>
  </si>
  <si>
    <t>Execution Status</t>
  </si>
  <si>
    <t>Conformance Level Wise Distribution</t>
  </si>
  <si>
    <t>Accessibility Issue Type Distribution</t>
  </si>
  <si>
    <t>Imace Wise Distribution</t>
  </si>
  <si>
    <t>Window</t>
  </si>
  <si>
    <t>macOS</t>
  </si>
  <si>
    <t>Android</t>
  </si>
  <si>
    <t>iOS</t>
  </si>
  <si>
    <t>Level A</t>
  </si>
  <si>
    <t>Level AA</t>
  </si>
  <si>
    <t>S.No.</t>
  </si>
  <si>
    <t>Title</t>
  </si>
  <si>
    <t>Repro Steps</t>
  </si>
  <si>
    <t>Actual Result</t>
  </si>
  <si>
    <t>Expected Result</t>
  </si>
  <si>
    <t>Recommendations</t>
  </si>
  <si>
    <t>WCAG SC#</t>
  </si>
  <si>
    <t>Impact</t>
  </si>
  <si>
    <t>Automation</t>
  </si>
  <si>
    <t>Issue Type</t>
  </si>
  <si>
    <t>Sheet Name</t>
  </si>
  <si>
    <r>
      <t xml:space="preserve">Platform / OS: Win 10, macOS (dWeb)
Browser: Google Chrome, Safari
Test URL: </t>
    </r>
    <r>
      <rPr>
        <sz val="10"/>
        <color rgb="FF000000"/>
        <rFont val="Calibri"/>
        <family val="2"/>
      </rPr>
      <t xml:space="preserve">
</t>
    </r>
    <r>
      <rPr>
        <b/>
        <sz val="10"/>
        <color rgb="FF000000"/>
        <rFont val="Calibri"/>
        <family val="2"/>
      </rPr>
      <t>AT (Screen Reader): JAWS 2021/2020, NVDA, VoiceOver for mac
Automation Accessibility Tools: Siteimprove Accessibility Checker, aXe DevTools
Browser + AT Combination: JAWS+Chrome/Edge, VoiceOver+Safari/Chrome, NVDA+Firefox</t>
    </r>
  </si>
  <si>
    <t>Website Title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</si>
</sst>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Calibri"/>
      <family val="2"/>
    </font>
    <font>
      <b/>
      <sz val="13"/>
      <color theme="0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sz val="1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sz val="11"/>
      <color rgb="FF000000"/>
      <name val="Calibri"/>
      <family val="2"/>
    </font>
    <font>
      <sz val="13"/>
      <color rgb="FF2F5496"/>
      <name val="Calibri"/>
      <family val="2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B4C6E7"/>
        <bgColor rgb="FFB4C6E7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4" fillId="4" borderId="15">
      <alignment horizontal="left" vertical="center"/>
    </xf>
    <xf numFmtId="0" fontId="5" fillId="5" borderId="15">
      <alignment horizontal="left" vertical="center"/>
    </xf>
  </cellStyleXfs>
  <cellXfs count="37">
    <xf numFmtId="0" fontId="0" fillId="0" borderId="0" xfId="0"/>
    <xf numFmtId="0" fontId="0" fillId="0" borderId="0" xfId="0" applyAlignment="1">
      <alignment wrapText="1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/>
    <xf numFmtId="0" fontId="1" fillId="2" borderId="4" xfId="0" applyFont="1" applyFill="1" applyBorder="1"/>
    <xf numFmtId="0" fontId="0" fillId="0" borderId="0" xfId="0" applyAlignment="1">
      <alignment horizontal="left" vertical="top"/>
    </xf>
    <xf numFmtId="0" fontId="10" fillId="0" borderId="0" xfId="0" applyFont="1"/>
    <xf numFmtId="0" fontId="5" fillId="5" borderId="21" xfId="2" applyBorder="1">
      <alignment horizontal="left" vertical="center"/>
    </xf>
    <xf numFmtId="0" fontId="5" fillId="5" borderId="22" xfId="2" applyBorder="1">
      <alignment horizontal="left" vertical="center"/>
    </xf>
    <xf numFmtId="0" fontId="5" fillId="5" borderId="23" xfId="2" applyBorder="1">
      <alignment horizontal="left" vertical="center"/>
    </xf>
    <xf numFmtId="0" fontId="0" fillId="7" borderId="20" xfId="0" applyFill="1" applyBorder="1"/>
    <xf numFmtId="0" fontId="1" fillId="7" borderId="1" xfId="0" applyFont="1" applyFill="1" applyBorder="1"/>
    <xf numFmtId="0" fontId="4" fillId="4" borderId="24" xfId="1" applyBorder="1">
      <alignment horizontal="left" vertical="center"/>
    </xf>
    <xf numFmtId="0" fontId="0" fillId="7" borderId="25" xfId="0" applyFill="1" applyBorder="1"/>
    <xf numFmtId="0" fontId="1" fillId="7" borderId="26" xfId="0" applyFont="1" applyFill="1" applyBorder="1"/>
    <xf numFmtId="0" fontId="4" fillId="4" borderId="15" xfId="1">
      <alignment horizontal="left" vertical="center"/>
    </xf>
    <xf numFmtId="0" fontId="4" fillId="4" borderId="1" xfId="1" applyBorder="1">
      <alignment horizontal="left" vertical="center"/>
    </xf>
    <xf numFmtId="0" fontId="4" fillId="4" borderId="26" xfId="1" applyBorder="1">
      <alignment horizontal="left" vertical="center"/>
    </xf>
    <xf numFmtId="0" fontId="1" fillId="6" borderId="0" xfId="0" applyFont="1" applyFill="1" applyAlignment="1">
      <alignment horizontal="left" vertical="top"/>
    </xf>
    <xf numFmtId="0" fontId="1" fillId="2" borderId="13" xfId="0" applyFont="1" applyFill="1" applyBorder="1" applyAlignment="1">
      <alignment horizontal="center" vertical="center"/>
    </xf>
    <xf numFmtId="0" fontId="0" fillId="0" borderId="7" xfId="0" applyBorder="1"/>
    <xf numFmtId="0" fontId="2" fillId="0" borderId="13" xfId="0" applyFont="1" applyBorder="1" applyAlignment="1">
      <alignment horizontal="left" vertical="top" wrapText="1"/>
    </xf>
    <xf numFmtId="0" fontId="0" fillId="0" borderId="5" xfId="0" applyBorder="1"/>
    <xf numFmtId="0" fontId="0" fillId="0" borderId="6" xfId="0" applyBorder="1"/>
    <xf numFmtId="0" fontId="3" fillId="3" borderId="13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left" vertical="top" wrapText="1"/>
    </xf>
    <xf numFmtId="0" fontId="0" fillId="0" borderId="8" xfId="0" applyBorder="1"/>
    <xf numFmtId="0" fontId="0" fillId="0" borderId="9" xfId="0" applyBorder="1"/>
    <xf numFmtId="0" fontId="1" fillId="2" borderId="2" xfId="0" applyFont="1" applyFill="1" applyBorder="1" applyAlignment="1">
      <alignment horizontal="center" vertical="center"/>
    </xf>
    <xf numFmtId="0" fontId="0" fillId="2" borderId="19" xfId="0" applyFill="1" applyBorder="1"/>
    <xf numFmtId="0" fontId="1" fillId="2" borderId="3" xfId="0" applyFont="1" applyFill="1" applyBorder="1" applyAlignment="1">
      <alignment horizontal="center" vertical="center"/>
    </xf>
    <xf numFmtId="0" fontId="0" fillId="0" borderId="11" xfId="0" applyBorder="1"/>
    <xf numFmtId="0" fontId="0" fillId="0" borderId="14" xfId="0" applyBorder="1"/>
    <xf numFmtId="0" fontId="0" fillId="0" borderId="16" xfId="0" applyBorder="1"/>
    <xf numFmtId="0" fontId="0" fillId="0" borderId="12" xfId="0" applyBorder="1"/>
    <xf numFmtId="0" fontId="1" fillId="2" borderId="17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/>
    </xf>
  </cellXfs>
  <cellStyles count="3">
    <cellStyle name="cell_style" xfId="1" xr:uid="{00000000-0005-0000-0000-000001000000}"/>
    <cellStyle name="header_cell_style" xfId="2" xr:uid="{00000000-0005-0000-0000-000002000000}"/>
    <cellStyle name="Normal" xfId="0" builtinId="0"/>
  </cellStyles>
  <dxfs count="14">
    <dxf>
      <fill>
        <patternFill patternType="solid">
          <fgColor rgb="FFFFFF00"/>
          <bgColor indexed="65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</font>
      <fill>
        <patternFill patternType="solid">
          <fgColor indexed="64"/>
          <bgColor theme="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WCAG 2.1 AA Success Criteria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&amp; Chart'!$D$4</c:f>
              <c:strCache>
                <c:ptCount val="1"/>
                <c:pt idx="0">
                  <c:v>No of occurence</c:v>
                </c:pt>
              </c:strCache>
            </c:strRef>
          </c:tx>
          <c:spPr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'Data &amp; Chart'!$C$5:$C$54</c:f>
              <c:strCache>
                <c:ptCount val="50"/>
                <c:pt idx="0">
                  <c:v>1.1.1 Non Text Content</c:v>
                </c:pt>
                <c:pt idx="1">
                  <c:v>1.2.1 Audio-only and Video-only (Prerecorded)</c:v>
                </c:pt>
                <c:pt idx="2">
                  <c:v>1.2.2 Captions</c:v>
                </c:pt>
                <c:pt idx="3">
                  <c:v>1.2.3 Audio Descriptions and Media Alternative (Prerecorded)</c:v>
                </c:pt>
                <c:pt idx="4">
                  <c:v>1.2.4 Captions (Live)</c:v>
                </c:pt>
                <c:pt idx="5">
                  <c:v>1.2.5 Audio Description (Prerecorded)</c:v>
                </c:pt>
                <c:pt idx="6">
                  <c:v>1.3.1 Info and Relationship</c:v>
                </c:pt>
                <c:pt idx="7">
                  <c:v>1.3.2 Meaningful Sequence</c:v>
                </c:pt>
                <c:pt idx="8">
                  <c:v>1.3.3 Sensory Characteristics</c:v>
                </c:pt>
                <c:pt idx="9">
                  <c:v>1.3.4 Orientation</c:v>
                </c:pt>
                <c:pt idx="10">
                  <c:v>1.3.5 Identify Input Purpose</c:v>
                </c:pt>
                <c:pt idx="11">
                  <c:v>1.4.1 Use of Color</c:v>
                </c:pt>
                <c:pt idx="12">
                  <c:v>1.4.2 Audio Control</c:v>
                </c:pt>
                <c:pt idx="13">
                  <c:v>1.4.3 Contrast (Minimum)</c:v>
                </c:pt>
                <c:pt idx="14">
                  <c:v>1.4.4 Resize Text</c:v>
                </c:pt>
                <c:pt idx="15">
                  <c:v>1.4.5 Image of Text</c:v>
                </c:pt>
                <c:pt idx="16">
                  <c:v>1.4.10 Reflow</c:v>
                </c:pt>
                <c:pt idx="17">
                  <c:v>1.4.11 Non Text Contrast</c:v>
                </c:pt>
                <c:pt idx="18">
                  <c:v>1.4.12 Text Spacing</c:v>
                </c:pt>
                <c:pt idx="19">
                  <c:v>1.4.13 Content on Hover or Focus</c:v>
                </c:pt>
                <c:pt idx="20">
                  <c:v>2.1.1 Keyboard</c:v>
                </c:pt>
                <c:pt idx="21">
                  <c:v>2.1.2 No Keyboard Trap</c:v>
                </c:pt>
                <c:pt idx="22">
                  <c:v>2.1.4 Character Key Shortcut</c:v>
                </c:pt>
                <c:pt idx="23">
                  <c:v>2.2.1 Timing Adjustable</c:v>
                </c:pt>
                <c:pt idx="24">
                  <c:v>2.2.2 Pause, Stop, Hide</c:v>
                </c:pt>
                <c:pt idx="25">
                  <c:v>2.3.1 Three Flashes or Below Threshold</c:v>
                </c:pt>
                <c:pt idx="26">
                  <c:v>2.4.1 Bypass Block</c:v>
                </c:pt>
                <c:pt idx="27">
                  <c:v>2.4.2 Page Titled</c:v>
                </c:pt>
                <c:pt idx="28">
                  <c:v>2.4.3 Focus Order</c:v>
                </c:pt>
                <c:pt idx="29">
                  <c:v>2.4.4 Link Purpose (In Context)</c:v>
                </c:pt>
                <c:pt idx="30">
                  <c:v>2.4.5 Multiple Ways</c:v>
                </c:pt>
                <c:pt idx="31">
                  <c:v>2.4.6 Headings and Labels</c:v>
                </c:pt>
                <c:pt idx="32">
                  <c:v>2.4.7 Focus Visible</c:v>
                </c:pt>
                <c:pt idx="33">
                  <c:v>2.5.1 Pointer Gestures</c:v>
                </c:pt>
                <c:pt idx="34">
                  <c:v>2.5.2 Pointer Cancellation</c:v>
                </c:pt>
                <c:pt idx="35">
                  <c:v>2.5.3 Label in Name</c:v>
                </c:pt>
                <c:pt idx="36">
                  <c:v>2.5.4 Motion Actuation</c:v>
                </c:pt>
                <c:pt idx="37">
                  <c:v>3.1.1 Language of Page</c:v>
                </c:pt>
                <c:pt idx="38">
                  <c:v>3.1.2 Language of Parts</c:v>
                </c:pt>
                <c:pt idx="39">
                  <c:v>3.2.1 On Focus</c:v>
                </c:pt>
                <c:pt idx="40">
                  <c:v>3.2.2 On Input</c:v>
                </c:pt>
                <c:pt idx="41">
                  <c:v>3.2.3 Consistent Navigation</c:v>
                </c:pt>
                <c:pt idx="42">
                  <c:v>3.2.4 Consistent Identification</c:v>
                </c:pt>
                <c:pt idx="43">
                  <c:v>3.3.1 Error Identification</c:v>
                </c:pt>
                <c:pt idx="44">
                  <c:v>3.3.2 Label or Instructions</c:v>
                </c:pt>
                <c:pt idx="45">
                  <c:v>3.3.3 Error Suggestion</c:v>
                </c:pt>
                <c:pt idx="46">
                  <c:v>3.3.4 Error Prevention (Legal, Financial, Data)</c:v>
                </c:pt>
                <c:pt idx="47">
                  <c:v>4.1.1 Parsing</c:v>
                </c:pt>
                <c:pt idx="48">
                  <c:v>4.1.2 Name, Role, Value</c:v>
                </c:pt>
                <c:pt idx="49">
                  <c:v>4.1.3 Status Message</c:v>
                </c:pt>
              </c:strCache>
            </c:strRef>
          </c:cat>
          <c:val>
            <c:numRef>
              <c:f>'Data &amp; Chart'!$D$5:$D$54</c:f>
              <c:numCache>
                <c:formatCode>General</c:formatCode>
                <c:ptCount val="50"/>
                <c:pt idx="0">
                  <c:v>22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174</c:v>
                </c:pt>
                <c:pt idx="7">
                  <c:v>45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7</c:v>
                </c:pt>
                <c:pt idx="12">
                  <c:v>0</c:v>
                </c:pt>
                <c:pt idx="13">
                  <c:v>24</c:v>
                </c:pt>
                <c:pt idx="14">
                  <c:v>5</c:v>
                </c:pt>
                <c:pt idx="15">
                  <c:v>2</c:v>
                </c:pt>
                <c:pt idx="16">
                  <c:v>8</c:v>
                </c:pt>
                <c:pt idx="17">
                  <c:v>63</c:v>
                </c:pt>
                <c:pt idx="18">
                  <c:v>4</c:v>
                </c:pt>
                <c:pt idx="19">
                  <c:v>0</c:v>
                </c:pt>
                <c:pt idx="20">
                  <c:v>46</c:v>
                </c:pt>
                <c:pt idx="21">
                  <c:v>1</c:v>
                </c:pt>
                <c:pt idx="22">
                  <c:v>0</c:v>
                </c:pt>
                <c:pt idx="23">
                  <c:v>6</c:v>
                </c:pt>
                <c:pt idx="24">
                  <c:v>0</c:v>
                </c:pt>
                <c:pt idx="25">
                  <c:v>0</c:v>
                </c:pt>
                <c:pt idx="26">
                  <c:v>3</c:v>
                </c:pt>
                <c:pt idx="27">
                  <c:v>7</c:v>
                </c:pt>
                <c:pt idx="28">
                  <c:v>111</c:v>
                </c:pt>
                <c:pt idx="29">
                  <c:v>9</c:v>
                </c:pt>
                <c:pt idx="30">
                  <c:v>1</c:v>
                </c:pt>
                <c:pt idx="31">
                  <c:v>84</c:v>
                </c:pt>
                <c:pt idx="32">
                  <c:v>25</c:v>
                </c:pt>
                <c:pt idx="33">
                  <c:v>5</c:v>
                </c:pt>
                <c:pt idx="34">
                  <c:v>0</c:v>
                </c:pt>
                <c:pt idx="35">
                  <c:v>3</c:v>
                </c:pt>
                <c:pt idx="36">
                  <c:v>0</c:v>
                </c:pt>
                <c:pt idx="37">
                  <c:v>3</c:v>
                </c:pt>
                <c:pt idx="38">
                  <c:v>2</c:v>
                </c:pt>
                <c:pt idx="39">
                  <c:v>7</c:v>
                </c:pt>
                <c:pt idx="40">
                  <c:v>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31</c:v>
                </c:pt>
                <c:pt idx="45">
                  <c:v>3</c:v>
                </c:pt>
                <c:pt idx="46">
                  <c:v>0</c:v>
                </c:pt>
                <c:pt idx="47">
                  <c:v>26</c:v>
                </c:pt>
                <c:pt idx="48">
                  <c:v>161</c:v>
                </c:pt>
                <c:pt idx="49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F58-4EE2-930F-823F36A7F8F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WCAG Success Criteria #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Count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Severity/Impact Wise Defect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&amp; Chart'!$C$60</c:f>
              <c:strCache>
                <c:ptCount val="1"/>
                <c:pt idx="0">
                  <c:v>Defect count</c:v>
                </c:pt>
              </c:strCache>
            </c:strRef>
          </c:tx>
          <c:spPr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'Data &amp; Chart'!$D$59:$G$59</c:f>
              <c:strCache>
                <c:ptCount val="4"/>
                <c:pt idx="0">
                  <c:v>Critical</c:v>
                </c:pt>
                <c:pt idx="1">
                  <c:v>High</c:v>
                </c:pt>
                <c:pt idx="2">
                  <c:v>Medium</c:v>
                </c:pt>
                <c:pt idx="3">
                  <c:v>Low</c:v>
                </c:pt>
              </c:strCache>
            </c:strRef>
          </c:cat>
          <c:val>
            <c:numRef>
              <c:f>'Data &amp; Chart'!$D$60:$G$60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7C-4168-9322-E4AE83AF543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Impact Category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Count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Severity/Impact Wise Defect Distribution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'Data &amp; Chart'!$C$75</c:f>
              <c:strCache>
                <c:ptCount val="1"/>
                <c:pt idx="0">
                  <c:v>Defect count</c:v>
                </c:pt>
              </c:strCache>
            </c:strRef>
          </c:tx>
          <c:spPr>
            <a:ln>
              <a:prstDash val="solid"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'Data &amp; Chart'!$D$74:$E$74</c:f>
              <c:strCache>
                <c:ptCount val="2"/>
                <c:pt idx="0">
                  <c:v>A</c:v>
                </c:pt>
                <c:pt idx="1">
                  <c:v>AA</c:v>
                </c:pt>
              </c:strCache>
            </c:strRef>
          </c:cat>
          <c:val>
            <c:numRef>
              <c:f>'Data &amp; Chart'!$D$75:$E$75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1B-46DA-B601-F3F5A17D221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0"/>
        <c:axId val="100"/>
      </c:barChart>
      <c:catAx>
        <c:axId val="1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Conformance Level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0"/>
        <c:crosses val="autoZero"/>
        <c:auto val="0"/>
        <c:lblAlgn val="ctr"/>
        <c:lblOffset val="100"/>
        <c:noMultiLvlLbl val="0"/>
      </c:catAx>
      <c:valAx>
        <c:axId val="10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IN"/>
                  <a:t>Defect Count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low"/>
        <c:crossAx val="1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Severity/Impact Wise Defect Distribution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'Data &amp; Chart'!$C$90</c:f>
              <c:strCache>
                <c:ptCount val="1"/>
                <c:pt idx="0">
                  <c:v>Defect count</c:v>
                </c:pt>
              </c:strCache>
            </c:strRef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'Data &amp; Chart'!$D$89:$J$89</c:f>
              <c:strCache>
                <c:ptCount val="7"/>
                <c:pt idx="0">
                  <c:v>Keyboard Navigation</c:v>
                </c:pt>
                <c:pt idx="1">
                  <c:v>Color Contrast</c:v>
                </c:pt>
                <c:pt idx="2">
                  <c:v>Color</c:v>
                </c:pt>
                <c:pt idx="3">
                  <c:v>Zoom</c:v>
                </c:pt>
                <c:pt idx="4">
                  <c:v>HTML Validator</c:v>
                </c:pt>
                <c:pt idx="5">
                  <c:v>Screen Reader</c:v>
                </c:pt>
                <c:pt idx="6">
                  <c:v>Other A11y</c:v>
                </c:pt>
              </c:strCache>
            </c:strRef>
          </c:cat>
          <c:val>
            <c:numRef>
              <c:f>'Data &amp; Chart'!$D$90:$J$90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68-404D-9E3B-3F3307351495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IN"/>
              <a:t>Severity/Impact Wise Defect Distribution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3576076388888889"/>
          <c:y val="0.19669333333333333"/>
          <c:w val="0.43860954861111112"/>
          <c:h val="0.70177527777777782"/>
        </c:manualLayout>
      </c:layout>
      <c:pieChart>
        <c:varyColors val="1"/>
        <c:ser>
          <c:idx val="0"/>
          <c:order val="0"/>
          <c:tx>
            <c:v/>
          </c:tx>
          <c:spPr>
            <a:ln>
              <a:prstDash val="solid"/>
            </a:ln>
          </c:spPr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Lit>
              <c:ptCount val="3"/>
              <c:pt idx="0">
                <c:v>Fail</c:v>
              </c:pt>
              <c:pt idx="1">
                <c:v>Pass</c:v>
              </c:pt>
              <c:pt idx="2">
                <c:v>N/A</c:v>
              </c:pt>
            </c:strLit>
          </c:cat>
          <c:val>
            <c:numLit>
              <c:formatCode>General</c:formatCode>
              <c:ptCount val="3"/>
              <c:pt idx="0">
                <c:v>3</c:v>
              </c:pt>
              <c:pt idx="1">
                <c:v>0</c:v>
              </c:pt>
              <c:pt idx="2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0-9EE4-4E9F-8482-B8245133C643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595313</xdr:colOff>
      <xdr:row>11</xdr:row>
      <xdr:rowOff>47626</xdr:rowOff>
    </xdr:from>
    <xdr:ext cx="9000000" cy="3240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8</xdr:col>
      <xdr:colOff>0</xdr:colOff>
      <xdr:row>55</xdr:row>
      <xdr:rowOff>0</xdr:rowOff>
    </xdr:from>
    <xdr:ext cx="5400000" cy="2700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8</xdr:col>
      <xdr:colOff>0</xdr:colOff>
      <xdr:row>70</xdr:row>
      <xdr:rowOff>0</xdr:rowOff>
    </xdr:from>
    <xdr:ext cx="5400000" cy="270000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oneCellAnchor>
  <xdr:oneCellAnchor>
    <xdr:from>
      <xdr:col>10</xdr:col>
      <xdr:colOff>293687</xdr:colOff>
      <xdr:row>87</xdr:row>
      <xdr:rowOff>7937</xdr:rowOff>
    </xdr:from>
    <xdr:ext cx="5760000" cy="3600000"/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oneCellAnchor>
  <xdr:oneCellAnchor>
    <xdr:from>
      <xdr:col>8</xdr:col>
      <xdr:colOff>511969</xdr:colOff>
      <xdr:row>111</xdr:row>
      <xdr:rowOff>107156</xdr:rowOff>
    </xdr:from>
    <xdr:ext cx="5760000" cy="3600000"/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175260</xdr:colOff>
          <xdr:row>2</xdr:row>
          <xdr:rowOff>167640</xdr:rowOff>
        </xdr:from>
        <xdr:to>
          <xdr:col>7</xdr:col>
          <xdr:colOff>607218</xdr:colOff>
          <xdr:row>4</xdr:row>
          <xdr:rowOff>133350</xdr:rowOff>
        </xdr:to>
        <xdr:sp macro="" textlink="">
          <xdr:nvSpPr>
            <xdr:cNvPr id="121862" name="Button 6" hidden="1">
              <a:extLst>
                <a:ext uri="{63B3BB69-23CF-44E3-9099-C40C66FF867C}">
                  <a14:compatExt spid="_x0000_s121862"/>
                </a:ext>
                <a:ext uri="{FF2B5EF4-FFF2-40B4-BE49-F238E27FC236}">
                  <a16:creationId xmlns:a16="http://schemas.microsoft.com/office/drawing/2014/main" id="{00000000-0008-0000-0000-000006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Populate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3</xdr:row>
          <xdr:rowOff>38100</xdr:rowOff>
        </xdr:from>
        <xdr:to>
          <xdr:col>10</xdr:col>
          <xdr:colOff>190501</xdr:colOff>
          <xdr:row>4</xdr:row>
          <xdr:rowOff>152400</xdr:rowOff>
        </xdr:to>
        <xdr:sp macro="" textlink="">
          <xdr:nvSpPr>
            <xdr:cNvPr id="121863" name="Button 7" hidden="1">
              <a:extLst>
                <a:ext uri="{63B3BB69-23CF-44E3-9099-C40C66FF867C}">
                  <a14:compatExt spid="_x0000_s121863"/>
                </a:ext>
                <a:ext uri="{FF2B5EF4-FFF2-40B4-BE49-F238E27FC236}">
                  <a16:creationId xmlns:a16="http://schemas.microsoft.com/office/drawing/2014/main" id="{00000000-0008-0000-0000-000007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762000</xdr:colOff>
          <xdr:row>3</xdr:row>
          <xdr:rowOff>15240</xdr:rowOff>
        </xdr:from>
        <xdr:to>
          <xdr:col>10</xdr:col>
          <xdr:colOff>2286000</xdr:colOff>
          <xdr:row>4</xdr:row>
          <xdr:rowOff>171450</xdr:rowOff>
        </xdr:to>
        <xdr:sp macro="" textlink="">
          <xdr:nvSpPr>
            <xdr:cNvPr id="121864" name="Button 8" hidden="1">
              <a:extLst>
                <a:ext uri="{63B3BB69-23CF-44E3-9099-C40C66FF867C}">
                  <a14:compatExt spid="_x0000_s121864"/>
                </a:ext>
                <a:ext uri="{FF2B5EF4-FFF2-40B4-BE49-F238E27FC236}">
                  <a16:creationId xmlns:a16="http://schemas.microsoft.com/office/drawing/2014/main" id="{00000000-0008-0000-0000-000008D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Send Mail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</xdr:colOff>
          <xdr:row>6</xdr:row>
          <xdr:rowOff>9525</xdr:rowOff>
        </xdr:from>
        <xdr:to>
          <xdr:col>6</xdr:col>
          <xdr:colOff>512445</xdr:colOff>
          <xdr:row>8</xdr:row>
          <xdr:rowOff>20955</xdr:rowOff>
        </xdr:to>
        <xdr:sp macro="" textlink="">
          <xdr:nvSpPr>
            <xdr:cNvPr id="128001" name="Button 1" hidden="1">
              <a:extLst>
                <a:ext uri="{63B3BB69-23CF-44E3-9099-C40C66FF867C}">
                  <a14:compatExt spid="_x0000_s128001"/>
                </a:ext>
                <a:ext uri="{FF2B5EF4-FFF2-40B4-BE49-F238E27FC236}">
                  <a16:creationId xmlns:a16="http://schemas.microsoft.com/office/drawing/2014/main" id="{00000000-0008-0000-0100-000001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Build Sheet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DB47DF-C9AD-4385-A5E6-DA0F19580EBD}" name="DefectCountTable" displayName="DefectCountTable" ref="C59:G60">
  <autoFilter ref="C59:G60" xr:uid="{E6DB47DF-C9AD-4385-A5E6-DA0F19580EBD}"/>
  <tableColumns count="5">
    <tableColumn id="2" xr3:uid="{3D64561C-9F97-466E-BF2C-61A6371E7789}" name="Column1"/>
    <tableColumn id="3" xr3:uid="{4EE15FD1-2868-49F1-B80B-CE354AA6A076}" name="Critical">
      <calculatedColumnFormula>SUM('Execution Summary'!O4:O130 )</calculatedColumnFormula>
    </tableColumn>
    <tableColumn id="4" xr3:uid="{770541F6-99A8-4A6E-9B9C-110B24E35F3D}" name="High">
      <calculatedColumnFormula>SUM('Execution Summary'!P4:P130 )</calculatedColumnFormula>
    </tableColumn>
    <tableColumn id="5" xr3:uid="{46D6BE22-45F2-4815-9B6A-8749A275E9E7}" name="Medium">
      <calculatedColumnFormula>SUM('Execution Summary'!Q4:Q130 )</calculatedColumnFormula>
    </tableColumn>
    <tableColumn id="6" xr3:uid="{701552EC-2FA3-4E67-8983-9513C8A8BAB6}" name="Low">
      <calculatedColumnFormula>SUM('Execution Summary'!R4:R130 )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298A42-2EA0-4F88-8F59-347C5E0D70E5}" name="ConformanceCountTable" displayName="ConformanceCountTable" ref="C74:E75">
  <autoFilter ref="C74:E75" xr:uid="{FF298A42-2EA0-4F88-8F59-347C5E0D70E5}"/>
  <tableColumns count="3">
    <tableColumn id="2" xr3:uid="{6F0689C0-3128-4CBC-B06A-165D51E22B81}" name="Conformance Level"/>
    <tableColumn id="3" xr3:uid="{1BA296FE-51CF-4132-8A80-6BCAD3CC0ACA}" name="A">
      <calculatedColumnFormula>SUM('Execution Summary'!F4:F130 )</calculatedColumnFormula>
    </tableColumn>
    <tableColumn id="4" xr3:uid="{0AFEBF89-50A7-485B-AF42-59427A5530E7}" name="AA">
      <calculatedColumnFormula>SUM('Execution Summary'!G4:G130 )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9EAC962-60B0-4F61-9071-4DF3DCD98904}" name="IssuetypeCountTable" displayName="IssuetypeCountTable" ref="C89:J90">
  <autoFilter ref="C89:J90" xr:uid="{89EAC962-60B0-4F61-9071-4DF3DCD98904}"/>
  <tableColumns count="8">
    <tableColumn id="2" xr3:uid="{E48FA058-DB31-4216-9D6F-A973F3C43ACD}" name="Column1"/>
    <tableColumn id="3" xr3:uid="{7D4F4C7E-28B5-489A-BE33-8B408B7A26B9}" name="Keyboard Navigation">
      <calculatedColumnFormula>SUM('Execution Summary'!H4:H130 )</calculatedColumnFormula>
    </tableColumn>
    <tableColumn id="4" xr3:uid="{87FB1347-F9FC-4C2C-AB66-89F24ECB04AB}" name="Color Contrast">
      <calculatedColumnFormula>SUM('Execution Summary'!I4:I130 )</calculatedColumnFormula>
    </tableColumn>
    <tableColumn id="5" xr3:uid="{8F5B434A-C0C0-49CA-B377-8E3705384ECC}" name="Color">
      <calculatedColumnFormula>SUM('Execution Summary'!J4:J130 )</calculatedColumnFormula>
    </tableColumn>
    <tableColumn id="6" xr3:uid="{EAACE45A-E5E6-43BA-B78E-ECDDC0F30ABC}" name="Zoom">
      <calculatedColumnFormula>SUM('Execution Summary'!K4:K130 )</calculatedColumnFormula>
    </tableColumn>
    <tableColumn id="7" xr3:uid="{64EA510C-FDD8-4F85-8AC3-00061F13A2AD}" name="HTML Validator">
      <calculatedColumnFormula>SUM('Execution Summary'!L4:L130 )</calculatedColumnFormula>
    </tableColumn>
    <tableColumn id="8" xr3:uid="{0C1B2239-265E-4FC2-A189-1FA759596A08}" name="Screen Reader">
      <calculatedColumnFormula>SUM('Execution Summary'!M4:M130 )</calculatedColumnFormula>
    </tableColumn>
    <tableColumn id="9" xr3:uid="{41F18556-9EC9-4AD8-96CB-E40D3683EB3F}" name="Other A11y">
      <calculatedColumnFormula>SUM('Execution Summary'!N4:N130 )</calculatedColumn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1B87A3F-6B54-4367-8F2E-4C0E459FF0EB}" name="Status_counts_table" displayName="Status_counts_table" ref="C104:F105">
  <autoFilter ref="C104:F105" xr:uid="{01B87A3F-6B54-4367-8F2E-4C0E459FF0EB}"/>
  <tableColumns count="4">
    <tableColumn id="2" xr3:uid="{0B97331E-502C-46B9-9794-230B75DABB30}" name="Result"/>
    <tableColumn id="3" xr3:uid="{608A90AA-EA56-409C-8B12-2379F4E04A37}" name="Fail">
      <calculatedColumnFormula>COUNTIF(Status_table[[#All],[Result]], "Fail")</calculatedColumnFormula>
    </tableColumn>
    <tableColumn id="4" xr3:uid="{B447D359-F657-43FF-8D3C-5F8AFF2C9CA7}" name="Pass">
      <calculatedColumnFormula>COUNTIF(Status_table[[#All],[Result]], "Pass")</calculatedColumnFormula>
    </tableColumn>
    <tableColumn id="5" xr3:uid="{327FB89D-D220-4A02-BA68-16EE15A919D9}" name="N/A">
      <calculatedColumnFormula>COUNTIF(Status_table[Result], "N/A")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EF44BC1-4782-431B-8528-B57732BF49EA}" name="Status_table" displayName="Status_table" ref="C111:D161" headerRowDxfId="13" totalsRowDxfId="10" headerRowBorderDxfId="12" tableBorderDxfId="11">
  <autoFilter ref="C111:D161" xr:uid="{BEF44BC1-4782-431B-8528-B57732BF49EA}"/>
  <tableColumns count="2">
    <tableColumn id="2" xr3:uid="{99C0F670-1641-4D08-82AF-5017BD80111E}" name="WCAG SC" dataDxfId="9"/>
    <tableColumn id="3" xr3:uid="{BDAA0AAB-94BA-46C2-B56E-0F7B1B572485}" name="Result" dataDxfId="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84849DB-B0DA-4088-B18B-6840D2F8AD59}" name="WCAG_Counts" displayName="WCAG_Counts" ref="B4:D54" headerRowDxfId="7" totalsRowDxfId="4" headerRowBorderDxfId="6" tableBorderDxfId="5">
  <autoFilter ref="B4:D54" xr:uid="{484849DB-B0DA-4088-B18B-6840D2F8AD59}"/>
  <tableColumns count="3">
    <tableColumn id="5" xr3:uid="{1B46440A-5A38-45DB-94EE-C810EA3227CF}" name="WCAG" dataDxfId="3" dataCellStyle="cell_style"/>
    <tableColumn id="2" xr3:uid="{5ABA4F5C-DDEE-4BCF-A43E-9A36594DBC12}" name="WCAG SC" dataDxfId="2"/>
    <tableColumn id="3" xr3:uid="{4D416CC5-4EE7-41DA-A443-467E1F3B8D2C}" name="No of occurence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12" Type="http://schemas.openxmlformats.org/officeDocument/2006/relationships/table" Target="../tables/table6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5.xml"/><Relationship Id="rId5" Type="http://schemas.openxmlformats.org/officeDocument/2006/relationships/ctrlProp" Target="../ctrlProps/ctrlProp2.xml"/><Relationship Id="rId10" Type="http://schemas.openxmlformats.org/officeDocument/2006/relationships/table" Target="../tables/table4.xml"/><Relationship Id="rId4" Type="http://schemas.openxmlformats.org/officeDocument/2006/relationships/ctrlProp" Target="../ctrlProps/ctrlProp1.xml"/><Relationship Id="rId9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AC164"/>
  <sheetViews>
    <sheetView topLeftCell="A18" zoomScale="80" zoomScaleNormal="80" workbookViewId="0">
      <selection activeCell="H157" sqref="H157"/>
    </sheetView>
  </sheetViews>
  <sheetFormatPr defaultRowHeight="14.4" x14ac:dyDescent="0.3"/>
  <cols>
    <col min="1" max="1" width="13.88671875" customWidth="1"/>
    <col min="2" max="2" width="19.88671875" hidden="1" customWidth="1"/>
    <col min="3" max="3" width="41.6640625" customWidth="1"/>
    <col min="4" max="4" width="20" customWidth="1"/>
    <col min="10" max="10" width="13.5546875" bestFit="1" customWidth="1"/>
    <col min="11" max="11" width="36.77734375" customWidth="1"/>
    <col min="12" max="12" width="56.77734375" customWidth="1"/>
    <col min="13" max="13" width="17.21875" customWidth="1"/>
    <col min="14" max="14" width="11" customWidth="1"/>
    <col min="15" max="15" width="9" customWidth="1"/>
    <col min="16" max="16" width="9.5546875" customWidth="1"/>
    <col min="18" max="18" width="14.33203125" customWidth="1"/>
    <col min="21" max="21" width="56.77734375" customWidth="1"/>
    <col min="22" max="22" width="20.109375" customWidth="1"/>
    <col min="25" max="25" width="10.109375" customWidth="1"/>
    <col min="29" max="29" width="56.77734375" customWidth="1"/>
    <col min="30" max="30" width="9.21875" customWidth="1"/>
    <col min="31" max="31" width="10.44140625" customWidth="1"/>
  </cols>
  <sheetData>
    <row r="2" spans="2:4" ht="17.399999999999999" x14ac:dyDescent="0.35">
      <c r="C2" s="6" t="s">
        <v>0</v>
      </c>
    </row>
    <row r="4" spans="2:4" x14ac:dyDescent="0.3">
      <c r="B4" s="7" t="s">
        <v>1</v>
      </c>
      <c r="C4" s="8" t="s">
        <v>2</v>
      </c>
      <c r="D4" s="9" t="s">
        <v>3</v>
      </c>
    </row>
    <row r="5" spans="2:4" x14ac:dyDescent="0.3">
      <c r="B5" s="10" t="s">
        <v>4</v>
      </c>
      <c r="C5" s="11" t="s">
        <v>5</v>
      </c>
      <c r="D5" s="12">
        <v>22</v>
      </c>
    </row>
    <row r="6" spans="2:4" x14ac:dyDescent="0.3">
      <c r="B6" s="10" t="s">
        <v>6</v>
      </c>
      <c r="C6" s="11" t="s">
        <v>7</v>
      </c>
      <c r="D6" s="12">
        <v>0</v>
      </c>
    </row>
    <row r="7" spans="2:4" x14ac:dyDescent="0.3">
      <c r="B7" s="10" t="s">
        <v>8</v>
      </c>
      <c r="C7" s="11" t="s">
        <v>9</v>
      </c>
      <c r="D7" s="12">
        <v>0</v>
      </c>
    </row>
    <row r="8" spans="2:4" x14ac:dyDescent="0.3">
      <c r="B8" s="10" t="s">
        <v>10</v>
      </c>
      <c r="C8" s="11" t="s">
        <v>11</v>
      </c>
      <c r="D8" s="12">
        <v>0</v>
      </c>
    </row>
    <row r="9" spans="2:4" x14ac:dyDescent="0.3">
      <c r="B9" s="10" t="s">
        <v>12</v>
      </c>
      <c r="C9" s="11" t="s">
        <v>13</v>
      </c>
      <c r="D9" s="12">
        <v>0</v>
      </c>
    </row>
    <row r="10" spans="2:4" x14ac:dyDescent="0.3">
      <c r="B10" s="10" t="s">
        <v>14</v>
      </c>
      <c r="C10" s="11" t="s">
        <v>15</v>
      </c>
      <c r="D10" s="12">
        <v>0</v>
      </c>
    </row>
    <row r="11" spans="2:4" x14ac:dyDescent="0.3">
      <c r="B11" s="10" t="s">
        <v>16</v>
      </c>
      <c r="C11" s="11" t="s">
        <v>17</v>
      </c>
      <c r="D11" s="12">
        <v>174</v>
      </c>
    </row>
    <row r="12" spans="2:4" x14ac:dyDescent="0.3">
      <c r="B12" s="10" t="s">
        <v>18</v>
      </c>
      <c r="C12" s="11" t="s">
        <v>19</v>
      </c>
      <c r="D12" s="12">
        <v>45</v>
      </c>
    </row>
    <row r="13" spans="2:4" x14ac:dyDescent="0.3">
      <c r="B13" s="10" t="s">
        <v>20</v>
      </c>
      <c r="C13" s="11" t="s">
        <v>21</v>
      </c>
      <c r="D13" s="12">
        <v>0</v>
      </c>
    </row>
    <row r="14" spans="2:4" x14ac:dyDescent="0.3">
      <c r="B14" s="10" t="s">
        <v>22</v>
      </c>
      <c r="C14" s="11" t="s">
        <v>23</v>
      </c>
      <c r="D14" s="12">
        <v>0</v>
      </c>
    </row>
    <row r="15" spans="2:4" x14ac:dyDescent="0.3">
      <c r="B15" s="10" t="s">
        <v>24</v>
      </c>
      <c r="C15" s="11" t="s">
        <v>25</v>
      </c>
      <c r="D15" s="12">
        <v>1</v>
      </c>
    </row>
    <row r="16" spans="2:4" x14ac:dyDescent="0.3">
      <c r="B16" s="10" t="s">
        <v>26</v>
      </c>
      <c r="C16" s="11" t="s">
        <v>27</v>
      </c>
      <c r="D16" s="12">
        <v>7</v>
      </c>
    </row>
    <row r="17" spans="2:4" x14ac:dyDescent="0.3">
      <c r="B17" s="10" t="s">
        <v>28</v>
      </c>
      <c r="C17" s="11" t="s">
        <v>29</v>
      </c>
      <c r="D17" s="12">
        <v>0</v>
      </c>
    </row>
    <row r="18" spans="2:4" x14ac:dyDescent="0.3">
      <c r="B18" s="10" t="s">
        <v>30</v>
      </c>
      <c r="C18" s="11" t="s">
        <v>31</v>
      </c>
      <c r="D18" s="12">
        <v>24</v>
      </c>
    </row>
    <row r="19" spans="2:4" x14ac:dyDescent="0.3">
      <c r="B19" s="10" t="s">
        <v>32</v>
      </c>
      <c r="C19" s="11" t="s">
        <v>33</v>
      </c>
      <c r="D19" s="12">
        <v>5</v>
      </c>
    </row>
    <row r="20" spans="2:4" x14ac:dyDescent="0.3">
      <c r="B20" s="10" t="s">
        <v>34</v>
      </c>
      <c r="C20" s="11" t="s">
        <v>35</v>
      </c>
      <c r="D20" s="12">
        <v>2</v>
      </c>
    </row>
    <row r="21" spans="2:4" x14ac:dyDescent="0.3">
      <c r="B21" s="10" t="s">
        <v>36</v>
      </c>
      <c r="C21" s="11" t="s">
        <v>37</v>
      </c>
      <c r="D21" s="12">
        <v>8</v>
      </c>
    </row>
    <row r="22" spans="2:4" x14ac:dyDescent="0.3">
      <c r="B22" s="10" t="s">
        <v>38</v>
      </c>
      <c r="C22" s="11" t="s">
        <v>39</v>
      </c>
      <c r="D22" s="12">
        <v>63</v>
      </c>
    </row>
    <row r="23" spans="2:4" x14ac:dyDescent="0.3">
      <c r="B23" s="10" t="s">
        <v>40</v>
      </c>
      <c r="C23" s="11" t="s">
        <v>41</v>
      </c>
      <c r="D23" s="12">
        <v>4</v>
      </c>
    </row>
    <row r="24" spans="2:4" x14ac:dyDescent="0.3">
      <c r="B24" s="10" t="s">
        <v>42</v>
      </c>
      <c r="C24" s="11" t="s">
        <v>43</v>
      </c>
      <c r="D24" s="12">
        <v>0</v>
      </c>
    </row>
    <row r="25" spans="2:4" x14ac:dyDescent="0.3">
      <c r="B25" s="10" t="s">
        <v>44</v>
      </c>
      <c r="C25" s="11" t="s">
        <v>45</v>
      </c>
      <c r="D25" s="12">
        <v>46</v>
      </c>
    </row>
    <row r="26" spans="2:4" x14ac:dyDescent="0.3">
      <c r="B26" s="10" t="s">
        <v>46</v>
      </c>
      <c r="C26" s="11" t="s">
        <v>47</v>
      </c>
      <c r="D26" s="12">
        <v>1</v>
      </c>
    </row>
    <row r="27" spans="2:4" x14ac:dyDescent="0.3">
      <c r="B27" s="10" t="s">
        <v>48</v>
      </c>
      <c r="C27" s="11" t="s">
        <v>49</v>
      </c>
      <c r="D27" s="12">
        <v>0</v>
      </c>
    </row>
    <row r="28" spans="2:4" x14ac:dyDescent="0.3">
      <c r="B28" s="10" t="s">
        <v>50</v>
      </c>
      <c r="C28" s="11" t="s">
        <v>51</v>
      </c>
      <c r="D28" s="12">
        <v>6</v>
      </c>
    </row>
    <row r="29" spans="2:4" x14ac:dyDescent="0.3">
      <c r="B29" s="10" t="s">
        <v>52</v>
      </c>
      <c r="C29" s="11" t="s">
        <v>53</v>
      </c>
      <c r="D29" s="12">
        <v>0</v>
      </c>
    </row>
    <row r="30" spans="2:4" x14ac:dyDescent="0.3">
      <c r="B30" s="10" t="s">
        <v>54</v>
      </c>
      <c r="C30" s="11" t="s">
        <v>55</v>
      </c>
      <c r="D30" s="12">
        <v>0</v>
      </c>
    </row>
    <row r="31" spans="2:4" x14ac:dyDescent="0.3">
      <c r="B31" s="10" t="s">
        <v>56</v>
      </c>
      <c r="C31" s="11" t="s">
        <v>57</v>
      </c>
      <c r="D31" s="12">
        <v>3</v>
      </c>
    </row>
    <row r="32" spans="2:4" x14ac:dyDescent="0.3">
      <c r="B32" s="10" t="s">
        <v>58</v>
      </c>
      <c r="C32" s="11" t="s">
        <v>59</v>
      </c>
      <c r="D32" s="12">
        <v>7</v>
      </c>
    </row>
    <row r="33" spans="2:4" x14ac:dyDescent="0.3">
      <c r="B33" s="10" t="s">
        <v>60</v>
      </c>
      <c r="C33" s="11" t="s">
        <v>61</v>
      </c>
      <c r="D33" s="12">
        <v>111</v>
      </c>
    </row>
    <row r="34" spans="2:4" x14ac:dyDescent="0.3">
      <c r="B34" s="10" t="s">
        <v>62</v>
      </c>
      <c r="C34" s="11" t="s">
        <v>63</v>
      </c>
      <c r="D34" s="12">
        <v>9</v>
      </c>
    </row>
    <row r="35" spans="2:4" x14ac:dyDescent="0.3">
      <c r="B35" s="10" t="s">
        <v>64</v>
      </c>
      <c r="C35" s="11" t="s">
        <v>65</v>
      </c>
      <c r="D35" s="12">
        <v>1</v>
      </c>
    </row>
    <row r="36" spans="2:4" x14ac:dyDescent="0.3">
      <c r="B36" s="10" t="s">
        <v>66</v>
      </c>
      <c r="C36" s="11" t="s">
        <v>67</v>
      </c>
      <c r="D36" s="12">
        <v>84</v>
      </c>
    </row>
    <row r="37" spans="2:4" x14ac:dyDescent="0.3">
      <c r="B37" s="10" t="s">
        <v>68</v>
      </c>
      <c r="C37" s="11" t="s">
        <v>69</v>
      </c>
      <c r="D37" s="12">
        <v>25</v>
      </c>
    </row>
    <row r="38" spans="2:4" x14ac:dyDescent="0.3">
      <c r="B38" s="10" t="s">
        <v>70</v>
      </c>
      <c r="C38" s="11" t="s">
        <v>71</v>
      </c>
      <c r="D38" s="12">
        <v>5</v>
      </c>
    </row>
    <row r="39" spans="2:4" x14ac:dyDescent="0.3">
      <c r="B39" s="10" t="s">
        <v>72</v>
      </c>
      <c r="C39" s="11" t="s">
        <v>73</v>
      </c>
      <c r="D39" s="12">
        <v>0</v>
      </c>
    </row>
    <row r="40" spans="2:4" x14ac:dyDescent="0.3">
      <c r="B40" s="10" t="s">
        <v>74</v>
      </c>
      <c r="C40" s="11" t="s">
        <v>75</v>
      </c>
      <c r="D40" s="12">
        <v>3</v>
      </c>
    </row>
    <row r="41" spans="2:4" x14ac:dyDescent="0.3">
      <c r="B41" s="10" t="s">
        <v>76</v>
      </c>
      <c r="C41" s="11" t="s">
        <v>77</v>
      </c>
      <c r="D41" s="12">
        <v>0</v>
      </c>
    </row>
    <row r="42" spans="2:4" x14ac:dyDescent="0.3">
      <c r="B42" s="10" t="s">
        <v>78</v>
      </c>
      <c r="C42" s="11" t="s">
        <v>79</v>
      </c>
      <c r="D42" s="12">
        <v>3</v>
      </c>
    </row>
    <row r="43" spans="2:4" x14ac:dyDescent="0.3">
      <c r="B43" s="10" t="s">
        <v>80</v>
      </c>
      <c r="C43" s="11" t="s">
        <v>81</v>
      </c>
      <c r="D43" s="12">
        <v>2</v>
      </c>
    </row>
    <row r="44" spans="2:4" x14ac:dyDescent="0.3">
      <c r="B44" s="10" t="s">
        <v>82</v>
      </c>
      <c r="C44" s="11" t="s">
        <v>83</v>
      </c>
      <c r="D44" s="12">
        <v>7</v>
      </c>
    </row>
    <row r="45" spans="2:4" x14ac:dyDescent="0.3">
      <c r="B45" s="10" t="s">
        <v>84</v>
      </c>
      <c r="C45" s="11" t="s">
        <v>85</v>
      </c>
      <c r="D45" s="12">
        <v>3</v>
      </c>
    </row>
    <row r="46" spans="2:4" x14ac:dyDescent="0.3">
      <c r="B46" s="10" t="s">
        <v>86</v>
      </c>
      <c r="C46" s="11" t="s">
        <v>87</v>
      </c>
      <c r="D46" s="12">
        <v>0</v>
      </c>
    </row>
    <row r="47" spans="2:4" x14ac:dyDescent="0.3">
      <c r="B47" s="10" t="s">
        <v>88</v>
      </c>
      <c r="C47" s="11" t="s">
        <v>89</v>
      </c>
      <c r="D47" s="12">
        <v>0</v>
      </c>
    </row>
    <row r="48" spans="2:4" x14ac:dyDescent="0.3">
      <c r="B48" s="10" t="s">
        <v>90</v>
      </c>
      <c r="C48" s="11" t="s">
        <v>91</v>
      </c>
      <c r="D48" s="12">
        <v>0</v>
      </c>
    </row>
    <row r="49" spans="2:7" x14ac:dyDescent="0.3">
      <c r="B49" s="10" t="s">
        <v>92</v>
      </c>
      <c r="C49" s="11" t="s">
        <v>93</v>
      </c>
      <c r="D49" s="12">
        <v>31</v>
      </c>
    </row>
    <row r="50" spans="2:7" x14ac:dyDescent="0.3">
      <c r="B50" s="10" t="s">
        <v>94</v>
      </c>
      <c r="C50" s="11" t="s">
        <v>95</v>
      </c>
      <c r="D50" s="12">
        <v>3</v>
      </c>
    </row>
    <row r="51" spans="2:7" x14ac:dyDescent="0.3">
      <c r="B51" s="10" t="s">
        <v>96</v>
      </c>
      <c r="C51" s="11" t="s">
        <v>97</v>
      </c>
      <c r="D51" s="12">
        <v>0</v>
      </c>
    </row>
    <row r="52" spans="2:7" x14ac:dyDescent="0.3">
      <c r="B52" s="10" t="s">
        <v>98</v>
      </c>
      <c r="C52" s="11" t="s">
        <v>99</v>
      </c>
      <c r="D52" s="12">
        <v>26</v>
      </c>
    </row>
    <row r="53" spans="2:7" x14ac:dyDescent="0.3">
      <c r="B53" s="10" t="s">
        <v>100</v>
      </c>
      <c r="C53" s="11" t="s">
        <v>101</v>
      </c>
      <c r="D53" s="12">
        <v>161</v>
      </c>
    </row>
    <row r="54" spans="2:7" x14ac:dyDescent="0.3">
      <c r="B54" s="13" t="s">
        <v>102</v>
      </c>
      <c r="C54" s="14" t="s">
        <v>103</v>
      </c>
      <c r="D54" s="12">
        <v>63</v>
      </c>
    </row>
    <row r="57" spans="2:7" ht="17.399999999999999" x14ac:dyDescent="0.35">
      <c r="C57" s="6" t="s">
        <v>104</v>
      </c>
    </row>
    <row r="59" spans="2:7" x14ac:dyDescent="0.3">
      <c r="C59" s="15" t="s">
        <v>105</v>
      </c>
      <c r="D59" s="15" t="s">
        <v>106</v>
      </c>
      <c r="E59" s="15" t="s">
        <v>107</v>
      </c>
      <c r="F59" s="15" t="s">
        <v>108</v>
      </c>
      <c r="G59" s="15" t="s">
        <v>109</v>
      </c>
    </row>
    <row r="60" spans="2:7" x14ac:dyDescent="0.3">
      <c r="C60" s="15" t="s">
        <v>110</v>
      </c>
      <c r="D60" s="15">
        <f>SUM('Execution Summary'!O4:O130 )</f>
        <v>0</v>
      </c>
      <c r="E60" s="15">
        <f>SUM('Execution Summary'!P4:P130 )</f>
        <v>0</v>
      </c>
      <c r="F60" s="15">
        <f>SUM('Execution Summary'!Q4:Q130 )</f>
        <v>0</v>
      </c>
      <c r="G60" s="15">
        <f>SUM('Execution Summary'!R4:R130 )</f>
        <v>0</v>
      </c>
    </row>
    <row r="72" spans="3:5" ht="17.399999999999999" x14ac:dyDescent="0.35">
      <c r="C72" s="6" t="s">
        <v>111</v>
      </c>
    </row>
    <row r="74" spans="3:5" x14ac:dyDescent="0.3">
      <c r="C74" s="15" t="s">
        <v>112</v>
      </c>
      <c r="D74" s="15" t="s">
        <v>113</v>
      </c>
      <c r="E74" s="15" t="s">
        <v>114</v>
      </c>
    </row>
    <row r="75" spans="3:5" x14ac:dyDescent="0.3">
      <c r="C75" s="15" t="s">
        <v>110</v>
      </c>
      <c r="D75" s="15">
        <f>SUM('Execution Summary'!F4:F130 )</f>
        <v>0</v>
      </c>
      <c r="E75" s="15">
        <f>SUM('Execution Summary'!G4:G130 )</f>
        <v>0</v>
      </c>
    </row>
    <row r="87" spans="3:10" ht="17.399999999999999" x14ac:dyDescent="0.35">
      <c r="C87" s="6" t="s">
        <v>104</v>
      </c>
    </row>
    <row r="89" spans="3:10" x14ac:dyDescent="0.3">
      <c r="C89" s="15" t="s">
        <v>105</v>
      </c>
      <c r="D89" s="15" t="s">
        <v>115</v>
      </c>
      <c r="E89" s="15" t="s">
        <v>116</v>
      </c>
      <c r="F89" s="15" t="s">
        <v>117</v>
      </c>
      <c r="G89" s="15" t="s">
        <v>118</v>
      </c>
      <c r="H89" s="15" t="s">
        <v>119</v>
      </c>
      <c r="I89" s="15" t="s">
        <v>120</v>
      </c>
      <c r="J89" s="15" t="s">
        <v>121</v>
      </c>
    </row>
    <row r="90" spans="3:10" x14ac:dyDescent="0.3">
      <c r="C90" s="15" t="s">
        <v>110</v>
      </c>
      <c r="D90" s="15">
        <f>SUM('Execution Summary'!H4:H130 )</f>
        <v>0</v>
      </c>
      <c r="E90" s="15">
        <f>SUM('Execution Summary'!I4:I130 )</f>
        <v>0</v>
      </c>
      <c r="F90" s="15">
        <f>SUM('Execution Summary'!J4:J130 )</f>
        <v>0</v>
      </c>
      <c r="G90" s="15">
        <f>SUM('Execution Summary'!K4:K130 )</f>
        <v>0</v>
      </c>
      <c r="H90" s="15">
        <f>SUM('Execution Summary'!L4:L130 )</f>
        <v>0</v>
      </c>
      <c r="I90" s="15">
        <f>SUM('Execution Summary'!M4:M130 )</f>
        <v>0</v>
      </c>
      <c r="J90" s="15">
        <f>SUM('Execution Summary'!N4:N130 )</f>
        <v>0</v>
      </c>
    </row>
    <row r="102" spans="3:6" ht="17.399999999999999" x14ac:dyDescent="0.35">
      <c r="C102" s="6" t="s">
        <v>111</v>
      </c>
    </row>
    <row r="104" spans="3:6" x14ac:dyDescent="0.3">
      <c r="C104" s="15" t="s">
        <v>122</v>
      </c>
      <c r="D104" s="15" t="s">
        <v>123</v>
      </c>
      <c r="E104" s="15" t="s">
        <v>124</v>
      </c>
      <c r="F104" s="15" t="s">
        <v>125</v>
      </c>
    </row>
    <row r="105" spans="3:6" x14ac:dyDescent="0.3">
      <c r="C105" s="15"/>
      <c r="D105" s="15">
        <f>COUNTIF(Status_table[[#All],[Result]], "Fail")</f>
        <v>32</v>
      </c>
      <c r="E105" s="15">
        <f>COUNTIF(Status_table[[#All],[Result]], "Pass")</f>
        <v>0</v>
      </c>
      <c r="F105" s="15">
        <f>COUNTIF(Status_table[Result], "N/A")</f>
        <v>0</v>
      </c>
    </row>
    <row r="109" spans="3:6" ht="17.399999999999999" x14ac:dyDescent="0.35">
      <c r="C109" s="6" t="s">
        <v>104</v>
      </c>
    </row>
    <row r="111" spans="3:6" x14ac:dyDescent="0.3">
      <c r="C111" s="8" t="s">
        <v>2</v>
      </c>
      <c r="D111" s="9" t="s">
        <v>122</v>
      </c>
    </row>
    <row r="112" spans="3:6" x14ac:dyDescent="0.3">
      <c r="C112" s="16" t="s">
        <v>5</v>
      </c>
      <c r="D112" s="12" t="s">
        <v>123</v>
      </c>
    </row>
    <row r="113" spans="3:4" x14ac:dyDescent="0.3">
      <c r="C113" s="16" t="s">
        <v>7</v>
      </c>
      <c r="D113" s="12" t="s">
        <v>126</v>
      </c>
    </row>
    <row r="114" spans="3:4" x14ac:dyDescent="0.3">
      <c r="C114" s="16" t="s">
        <v>9</v>
      </c>
      <c r="D114" s="12" t="s">
        <v>126</v>
      </c>
    </row>
    <row r="115" spans="3:4" x14ac:dyDescent="0.3">
      <c r="C115" s="16" t="s">
        <v>11</v>
      </c>
      <c r="D115" s="12" t="s">
        <v>126</v>
      </c>
    </row>
    <row r="116" spans="3:4" x14ac:dyDescent="0.3">
      <c r="C116" s="16" t="s">
        <v>13</v>
      </c>
      <c r="D116" s="12" t="s">
        <v>126</v>
      </c>
    </row>
    <row r="117" spans="3:4" x14ac:dyDescent="0.3">
      <c r="C117" s="16" t="s">
        <v>15</v>
      </c>
      <c r="D117" s="12" t="s">
        <v>126</v>
      </c>
    </row>
    <row r="118" spans="3:4" x14ac:dyDescent="0.3">
      <c r="C118" s="16" t="s">
        <v>17</v>
      </c>
      <c r="D118" s="12" t="s">
        <v>123</v>
      </c>
    </row>
    <row r="119" spans="3:4" x14ac:dyDescent="0.3">
      <c r="C119" s="16" t="s">
        <v>19</v>
      </c>
      <c r="D119" s="12" t="s">
        <v>123</v>
      </c>
    </row>
    <row r="120" spans="3:4" x14ac:dyDescent="0.3">
      <c r="C120" s="16" t="s">
        <v>21</v>
      </c>
      <c r="D120" s="12" t="s">
        <v>126</v>
      </c>
    </row>
    <row r="121" spans="3:4" x14ac:dyDescent="0.3">
      <c r="C121" s="16" t="s">
        <v>23</v>
      </c>
      <c r="D121" s="12" t="s">
        <v>126</v>
      </c>
    </row>
    <row r="122" spans="3:4" x14ac:dyDescent="0.3">
      <c r="C122" s="16" t="s">
        <v>25</v>
      </c>
      <c r="D122" s="12" t="s">
        <v>123</v>
      </c>
    </row>
    <row r="123" spans="3:4" x14ac:dyDescent="0.3">
      <c r="C123" s="16" t="s">
        <v>27</v>
      </c>
      <c r="D123" s="12" t="s">
        <v>123</v>
      </c>
    </row>
    <row r="124" spans="3:4" x14ac:dyDescent="0.3">
      <c r="C124" s="16" t="s">
        <v>29</v>
      </c>
      <c r="D124" s="12" t="s">
        <v>126</v>
      </c>
    </row>
    <row r="125" spans="3:4" x14ac:dyDescent="0.3">
      <c r="C125" s="16" t="s">
        <v>31</v>
      </c>
      <c r="D125" s="12" t="s">
        <v>123</v>
      </c>
    </row>
    <row r="126" spans="3:4" x14ac:dyDescent="0.3">
      <c r="C126" s="16" t="s">
        <v>33</v>
      </c>
      <c r="D126" s="12" t="s">
        <v>123</v>
      </c>
    </row>
    <row r="127" spans="3:4" x14ac:dyDescent="0.3">
      <c r="C127" s="16" t="s">
        <v>35</v>
      </c>
      <c r="D127" s="12" t="s">
        <v>123</v>
      </c>
    </row>
    <row r="128" spans="3:4" x14ac:dyDescent="0.3">
      <c r="C128" s="16" t="s">
        <v>37</v>
      </c>
      <c r="D128" s="12" t="s">
        <v>123</v>
      </c>
    </row>
    <row r="129" spans="3:4" x14ac:dyDescent="0.3">
      <c r="C129" s="16" t="s">
        <v>39</v>
      </c>
      <c r="D129" s="12" t="s">
        <v>123</v>
      </c>
    </row>
    <row r="130" spans="3:4" x14ac:dyDescent="0.3">
      <c r="C130" s="16" t="s">
        <v>41</v>
      </c>
      <c r="D130" s="12" t="s">
        <v>123</v>
      </c>
    </row>
    <row r="131" spans="3:4" x14ac:dyDescent="0.3">
      <c r="C131" s="16" t="s">
        <v>43</v>
      </c>
      <c r="D131" s="12" t="s">
        <v>126</v>
      </c>
    </row>
    <row r="132" spans="3:4" x14ac:dyDescent="0.3">
      <c r="C132" s="16" t="s">
        <v>45</v>
      </c>
      <c r="D132" s="12" t="s">
        <v>123</v>
      </c>
    </row>
    <row r="133" spans="3:4" x14ac:dyDescent="0.3">
      <c r="C133" s="16" t="s">
        <v>47</v>
      </c>
      <c r="D133" s="12" t="s">
        <v>123</v>
      </c>
    </row>
    <row r="134" spans="3:4" x14ac:dyDescent="0.3">
      <c r="C134" s="16" t="s">
        <v>49</v>
      </c>
      <c r="D134" s="12" t="s">
        <v>126</v>
      </c>
    </row>
    <row r="135" spans="3:4" x14ac:dyDescent="0.3">
      <c r="C135" s="16" t="s">
        <v>51</v>
      </c>
      <c r="D135" s="12" t="s">
        <v>123</v>
      </c>
    </row>
    <row r="136" spans="3:4" x14ac:dyDescent="0.3">
      <c r="C136" s="16" t="s">
        <v>53</v>
      </c>
      <c r="D136" s="12" t="s">
        <v>126</v>
      </c>
    </row>
    <row r="137" spans="3:4" x14ac:dyDescent="0.3">
      <c r="C137" s="16" t="s">
        <v>55</v>
      </c>
      <c r="D137" s="12" t="s">
        <v>126</v>
      </c>
    </row>
    <row r="138" spans="3:4" x14ac:dyDescent="0.3">
      <c r="C138" s="16" t="s">
        <v>57</v>
      </c>
      <c r="D138" s="12" t="s">
        <v>123</v>
      </c>
    </row>
    <row r="139" spans="3:4" x14ac:dyDescent="0.3">
      <c r="C139" s="16" t="s">
        <v>59</v>
      </c>
      <c r="D139" s="12" t="s">
        <v>123</v>
      </c>
    </row>
    <row r="140" spans="3:4" x14ac:dyDescent="0.3">
      <c r="C140" s="16" t="s">
        <v>61</v>
      </c>
      <c r="D140" s="12" t="s">
        <v>123</v>
      </c>
    </row>
    <row r="141" spans="3:4" x14ac:dyDescent="0.3">
      <c r="C141" s="16" t="s">
        <v>63</v>
      </c>
      <c r="D141" s="12" t="s">
        <v>123</v>
      </c>
    </row>
    <row r="142" spans="3:4" x14ac:dyDescent="0.3">
      <c r="C142" s="16" t="s">
        <v>65</v>
      </c>
      <c r="D142" s="12" t="s">
        <v>123</v>
      </c>
    </row>
    <row r="143" spans="3:4" x14ac:dyDescent="0.3">
      <c r="C143" s="16" t="s">
        <v>67</v>
      </c>
      <c r="D143" s="12" t="s">
        <v>123</v>
      </c>
    </row>
    <row r="144" spans="3:4" x14ac:dyDescent="0.3">
      <c r="C144" s="16" t="s">
        <v>69</v>
      </c>
      <c r="D144" s="12" t="s">
        <v>123</v>
      </c>
    </row>
    <row r="145" spans="3:4" x14ac:dyDescent="0.3">
      <c r="C145" s="16" t="s">
        <v>71</v>
      </c>
      <c r="D145" s="12" t="s">
        <v>123</v>
      </c>
    </row>
    <row r="146" spans="3:4" x14ac:dyDescent="0.3">
      <c r="C146" s="16" t="s">
        <v>73</v>
      </c>
      <c r="D146" s="12" t="s">
        <v>126</v>
      </c>
    </row>
    <row r="147" spans="3:4" x14ac:dyDescent="0.3">
      <c r="C147" s="16" t="s">
        <v>75</v>
      </c>
      <c r="D147" s="12" t="s">
        <v>123</v>
      </c>
    </row>
    <row r="148" spans="3:4" x14ac:dyDescent="0.3">
      <c r="C148" s="16" t="s">
        <v>77</v>
      </c>
      <c r="D148" s="12" t="s">
        <v>126</v>
      </c>
    </row>
    <row r="149" spans="3:4" x14ac:dyDescent="0.3">
      <c r="C149" s="16" t="s">
        <v>79</v>
      </c>
      <c r="D149" s="12" t="s">
        <v>123</v>
      </c>
    </row>
    <row r="150" spans="3:4" x14ac:dyDescent="0.3">
      <c r="C150" s="16" t="s">
        <v>81</v>
      </c>
      <c r="D150" s="12" t="s">
        <v>123</v>
      </c>
    </row>
    <row r="151" spans="3:4" x14ac:dyDescent="0.3">
      <c r="C151" s="16" t="s">
        <v>83</v>
      </c>
      <c r="D151" s="12" t="s">
        <v>123</v>
      </c>
    </row>
    <row r="152" spans="3:4" x14ac:dyDescent="0.3">
      <c r="C152" s="16" t="s">
        <v>85</v>
      </c>
      <c r="D152" s="12" t="s">
        <v>123</v>
      </c>
    </row>
    <row r="153" spans="3:4" x14ac:dyDescent="0.3">
      <c r="C153" s="16" t="s">
        <v>87</v>
      </c>
      <c r="D153" s="12" t="s">
        <v>126</v>
      </c>
    </row>
    <row r="154" spans="3:4" x14ac:dyDescent="0.3">
      <c r="C154" s="16" t="s">
        <v>89</v>
      </c>
      <c r="D154" s="12" t="s">
        <v>126</v>
      </c>
    </row>
    <row r="155" spans="3:4" x14ac:dyDescent="0.3">
      <c r="C155" s="16" t="s">
        <v>91</v>
      </c>
      <c r="D155" s="12" t="s">
        <v>126</v>
      </c>
    </row>
    <row r="156" spans="3:4" x14ac:dyDescent="0.3">
      <c r="C156" s="16" t="s">
        <v>93</v>
      </c>
      <c r="D156" s="12" t="s">
        <v>123</v>
      </c>
    </row>
    <row r="157" spans="3:4" x14ac:dyDescent="0.3">
      <c r="C157" s="16" t="s">
        <v>95</v>
      </c>
      <c r="D157" s="12" t="s">
        <v>123</v>
      </c>
    </row>
    <row r="158" spans="3:4" x14ac:dyDescent="0.3">
      <c r="C158" s="16" t="s">
        <v>97</v>
      </c>
      <c r="D158" s="12" t="s">
        <v>126</v>
      </c>
    </row>
    <row r="159" spans="3:4" x14ac:dyDescent="0.3">
      <c r="C159" s="16" t="s">
        <v>99</v>
      </c>
      <c r="D159" s="12" t="s">
        <v>123</v>
      </c>
    </row>
    <row r="160" spans="3:4" x14ac:dyDescent="0.3">
      <c r="C160" s="16" t="s">
        <v>101</v>
      </c>
      <c r="D160" s="12" t="s">
        <v>123</v>
      </c>
    </row>
    <row r="161" spans="3:29" x14ac:dyDescent="0.3">
      <c r="C161" s="17" t="s">
        <v>103</v>
      </c>
      <c r="D161" s="12" t="s">
        <v>123</v>
      </c>
    </row>
    <row r="164" spans="3:29" x14ac:dyDescent="0.3">
      <c r="L164" s="1"/>
      <c r="U164" s="1"/>
      <c r="AC164" s="1"/>
    </row>
  </sheetData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1862" r:id="rId4" name="Button 6">
              <controlPr defaultSize="0" print="0" autoFill="0" autoPict="0" macro="[0]!CountWcagOccurrences">
                <anchor moveWithCells="1">
                  <from>
                    <xdr:col>6</xdr:col>
                    <xdr:colOff>175260</xdr:colOff>
                    <xdr:row>2</xdr:row>
                    <xdr:rowOff>167640</xdr:rowOff>
                  </from>
                  <to>
                    <xdr:col>8</xdr:col>
                    <xdr:colOff>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3" r:id="rId5" name="Button 7">
              <controlPr defaultSize="0" print="0" autoFill="0" autoPict="0" macro="[0]!CreateTable">
                <anchor moveWithCells="1">
                  <from>
                    <xdr:col>9</xdr:col>
                    <xdr:colOff>22860</xdr:colOff>
                    <xdr:row>3</xdr:row>
                    <xdr:rowOff>38100</xdr:rowOff>
                  </from>
                  <to>
                    <xdr:col>10</xdr:col>
                    <xdr:colOff>190500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64" r:id="rId6" name="Button 8">
              <controlPr defaultSize="0" print="0" autoFill="0" autoPict="0" macro="[0]!Send_Sheet_As_Email">
                <anchor moveWithCells="1">
                  <from>
                    <xdr:col>10</xdr:col>
                    <xdr:colOff>762000</xdr:colOff>
                    <xdr:row>3</xdr:row>
                    <xdr:rowOff>15240</xdr:rowOff>
                  </from>
                  <to>
                    <xdr:col>10</xdr:col>
                    <xdr:colOff>2286000</xdr:colOff>
                    <xdr:row>4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tableParts count="6"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C28"/>
  <sheetViews>
    <sheetView tabSelected="1" workbookViewId="0">
      <selection activeCell="B22" sqref="B22"/>
    </sheetView>
  </sheetViews>
  <sheetFormatPr defaultRowHeight="14.4" x14ac:dyDescent="0.3"/>
  <cols>
    <col min="2" max="2" width="74.33203125" bestFit="1" customWidth="1"/>
    <col min="3" max="3" width="57.44140625" customWidth="1"/>
  </cols>
  <sheetData>
    <row r="1" spans="2:3" ht="15.75" customHeight="1" thickBot="1" x14ac:dyDescent="0.35"/>
    <row r="2" spans="2:3" x14ac:dyDescent="0.3">
      <c r="B2" s="24" t="s">
        <v>153</v>
      </c>
    </row>
    <row r="3" spans="2:3" ht="15.75" customHeight="1" thickBot="1" x14ac:dyDescent="0.35">
      <c r="B3" s="23"/>
    </row>
    <row r="4" spans="2:3" ht="15.75" customHeight="1" thickBot="1" x14ac:dyDescent="0.35"/>
    <row r="5" spans="2:3" ht="15.75" customHeight="1" thickBot="1" x14ac:dyDescent="0.35">
      <c r="B5" s="19" t="s">
        <v>127</v>
      </c>
      <c r="C5" s="20"/>
    </row>
    <row r="6" spans="2:3" ht="14.4" customHeight="1" x14ac:dyDescent="0.3">
      <c r="B6" s="25" t="s">
        <v>152</v>
      </c>
      <c r="C6" s="21" t="s">
        <v>128</v>
      </c>
    </row>
    <row r="7" spans="2:3" x14ac:dyDescent="0.3">
      <c r="B7" s="26"/>
      <c r="C7" s="22"/>
    </row>
    <row r="8" spans="2:3" x14ac:dyDescent="0.3">
      <c r="B8" s="26"/>
      <c r="C8" s="22"/>
    </row>
    <row r="9" spans="2:3" x14ac:dyDescent="0.3">
      <c r="B9" s="26"/>
      <c r="C9" s="22"/>
    </row>
    <row r="10" spans="2:3" x14ac:dyDescent="0.3">
      <c r="B10" s="26"/>
      <c r="C10" s="22"/>
    </row>
    <row r="11" spans="2:3" x14ac:dyDescent="0.3">
      <c r="B11" s="26"/>
      <c r="C11" s="22"/>
    </row>
    <row r="12" spans="2:3" ht="30.9" customHeight="1" thickBot="1" x14ac:dyDescent="0.35">
      <c r="B12" s="27"/>
      <c r="C12" s="23"/>
    </row>
    <row r="14" spans="2:3" ht="15.75" customHeight="1" thickBot="1" x14ac:dyDescent="0.35"/>
    <row r="15" spans="2:3" x14ac:dyDescent="0.3">
      <c r="B15" s="28" t="s">
        <v>129</v>
      </c>
      <c r="C15" s="35" t="s">
        <v>151</v>
      </c>
    </row>
    <row r="16" spans="2:3" ht="15" thickBot="1" x14ac:dyDescent="0.35">
      <c r="B16" s="29"/>
      <c r="C16" s="36"/>
    </row>
    <row r="28" ht="15.75" customHeight="1" x14ac:dyDescent="0.3"/>
  </sheetData>
  <mergeCells count="6">
    <mergeCell ref="B5:C5"/>
    <mergeCell ref="C15:C16"/>
    <mergeCell ref="C6:C12"/>
    <mergeCell ref="B2:B3"/>
    <mergeCell ref="B6:B12"/>
    <mergeCell ref="B15:B16"/>
  </mergeCells>
  <phoneticPr fontId="1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8001" r:id="rId4" name="Button 1">
              <controlPr defaultSize="0" print="0" autoFill="0" autoPict="0" macro="[0]!ProcessSheets">
                <anchor moveWithCells="1">
                  <from>
                    <xdr:col>5</xdr:col>
                    <xdr:colOff>30480</xdr:colOff>
                    <xdr:row>6</xdr:row>
                    <xdr:rowOff>7620</xdr:rowOff>
                  </from>
                  <to>
                    <xdr:col>6</xdr:col>
                    <xdr:colOff>525780</xdr:colOff>
                    <xdr:row>8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"/>
  <sheetViews>
    <sheetView zoomScale="85" zoomScaleNormal="85" workbookViewId="0">
      <selection activeCell="D16" sqref="D16"/>
    </sheetView>
  </sheetViews>
  <sheetFormatPr defaultColWidth="9.109375" defaultRowHeight="14.4" x14ac:dyDescent="0.3"/>
  <cols>
    <col min="1" max="1" width="49.6640625" style="1" bestFit="1" customWidth="1"/>
    <col min="2" max="2" width="15.33203125" style="1" bestFit="1" customWidth="1"/>
    <col min="3" max="3" width="14.109375" style="1" customWidth="1"/>
    <col min="4" max="4" width="12.44140625" style="1" customWidth="1"/>
    <col min="5" max="5" width="11.109375" style="1" customWidth="1"/>
    <col min="6" max="6" width="14.5546875" style="1" customWidth="1"/>
    <col min="7" max="7" width="11.6640625" style="1" customWidth="1"/>
    <col min="8" max="8" width="19.109375" style="1" customWidth="1"/>
    <col min="9" max="9" width="14.44140625" style="1" customWidth="1"/>
    <col min="10" max="10" width="14.21875" style="1" customWidth="1"/>
    <col min="11" max="11" width="9.109375" style="1" customWidth="1"/>
    <col min="12" max="12" width="13.6640625" style="1" customWidth="1"/>
    <col min="13" max="13" width="14.33203125" style="1" customWidth="1"/>
    <col min="14" max="14" width="11.44140625" style="1" customWidth="1"/>
    <col min="15" max="16" width="18.21875" style="1" customWidth="1"/>
    <col min="17" max="18" width="9.109375" style="1" customWidth="1"/>
    <col min="19" max="16384" width="9.109375" style="1"/>
  </cols>
  <sheetData>
    <row r="1" spans="1:18" ht="15.75" customHeight="1" thickBot="1" x14ac:dyDescent="0.35"/>
    <row r="2" spans="1:18" x14ac:dyDescent="0.3">
      <c r="A2" s="28" t="s">
        <v>130</v>
      </c>
      <c r="B2" s="30" t="s">
        <v>131</v>
      </c>
      <c r="C2" s="32"/>
      <c r="D2" s="32"/>
      <c r="E2" s="31"/>
      <c r="F2" s="30" t="s">
        <v>132</v>
      </c>
      <c r="G2" s="31"/>
      <c r="H2" s="30" t="s">
        <v>133</v>
      </c>
      <c r="I2" s="32"/>
      <c r="J2" s="32"/>
      <c r="K2" s="32"/>
      <c r="L2" s="32"/>
      <c r="M2" s="32"/>
      <c r="N2" s="31"/>
      <c r="O2" s="30" t="s">
        <v>134</v>
      </c>
      <c r="P2" s="32"/>
      <c r="Q2" s="32"/>
      <c r="R2" s="33"/>
    </row>
    <row r="3" spans="1:18" x14ac:dyDescent="0.3">
      <c r="A3" s="34"/>
      <c r="B3" s="2" t="s">
        <v>135</v>
      </c>
      <c r="C3" s="2" t="s">
        <v>136</v>
      </c>
      <c r="D3" s="2" t="s">
        <v>137</v>
      </c>
      <c r="E3" s="2" t="s">
        <v>138</v>
      </c>
      <c r="F3" s="3" t="s">
        <v>139</v>
      </c>
      <c r="G3" s="3" t="s">
        <v>140</v>
      </c>
      <c r="H3" s="3" t="s">
        <v>115</v>
      </c>
      <c r="I3" s="3" t="s">
        <v>116</v>
      </c>
      <c r="J3" s="3" t="s">
        <v>117</v>
      </c>
      <c r="K3" s="3" t="s">
        <v>118</v>
      </c>
      <c r="L3" s="3" t="s">
        <v>119</v>
      </c>
      <c r="M3" s="3" t="s">
        <v>120</v>
      </c>
      <c r="N3" s="3" t="s">
        <v>121</v>
      </c>
      <c r="O3" s="3" t="s">
        <v>106</v>
      </c>
      <c r="P3" s="3" t="s">
        <v>107</v>
      </c>
      <c r="Q3" s="3" t="s">
        <v>108</v>
      </c>
      <c r="R3" s="4" t="s">
        <v>109</v>
      </c>
    </row>
  </sheetData>
  <mergeCells count="5">
    <mergeCell ref="F2:G2"/>
    <mergeCell ref="H2:N2"/>
    <mergeCell ref="O2:R2"/>
    <mergeCell ref="A2:A3"/>
    <mergeCell ref="B2:E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6BC85-EFE6-489A-8080-7ED58E9BC452}">
  <sheetPr codeName="Sheet4"/>
  <dimension ref="A1:L1"/>
  <sheetViews>
    <sheetView workbookViewId="0">
      <selection activeCell="C22" sqref="C22"/>
    </sheetView>
  </sheetViews>
  <sheetFormatPr defaultColWidth="8.6640625" defaultRowHeight="14.4" x14ac:dyDescent="0.3"/>
  <cols>
    <col min="1" max="1" width="5.5546875" customWidth="1"/>
    <col min="2" max="2" width="59" customWidth="1"/>
    <col min="3" max="3" width="53.109375" customWidth="1"/>
    <col min="4" max="4" width="47.88671875" customWidth="1"/>
    <col min="5" max="5" width="51" customWidth="1"/>
    <col min="6" max="6" width="52" customWidth="1"/>
    <col min="7" max="7" width="11.44140625" customWidth="1"/>
    <col min="8" max="8" width="17.6640625" customWidth="1"/>
    <col min="9" max="9" width="12.88671875" customWidth="1"/>
    <col min="10" max="10" width="11.109375" customWidth="1"/>
    <col min="11" max="11" width="18.109375" bestFit="1" customWidth="1"/>
    <col min="12" max="12" width="14.88671875" bestFit="1" customWidth="1"/>
  </cols>
  <sheetData>
    <row r="1" spans="1:12" s="5" customFormat="1" x14ac:dyDescent="0.3">
      <c r="A1" s="18" t="s">
        <v>141</v>
      </c>
      <c r="B1" s="18" t="s">
        <v>142</v>
      </c>
      <c r="C1" s="18" t="s">
        <v>143</v>
      </c>
      <c r="D1" s="18" t="s">
        <v>144</v>
      </c>
      <c r="E1" s="18" t="s">
        <v>145</v>
      </c>
      <c r="F1" s="18" t="s">
        <v>146</v>
      </c>
      <c r="G1" s="18" t="s">
        <v>147</v>
      </c>
      <c r="H1" s="18" t="s">
        <v>112</v>
      </c>
      <c r="I1" s="18" t="s">
        <v>148</v>
      </c>
      <c r="J1" s="18" t="s">
        <v>149</v>
      </c>
      <c r="K1" s="18" t="s">
        <v>150</v>
      </c>
      <c r="L1" s="18" t="s">
        <v>127</v>
      </c>
    </row>
  </sheetData>
  <dataValidations count="3">
    <dataValidation type="list" allowBlank="1" showInputMessage="1" showErrorMessage="1" sqref="J1:J1048576" xr:uid="{5B6FB9C4-A5F2-44AF-9DD0-CE34C9ED070A}">
      <formula1>"Yes,No"</formula1>
    </dataValidation>
    <dataValidation type="list" allowBlank="1" showInputMessage="1" showErrorMessage="1" sqref="L1:L1048576" xr:uid="{7CC10CD0-8B05-4C15-91F1-609BABBC37B0}">
      <formula1>"dWeb,mWeb,Web"</formula1>
    </dataValidation>
    <dataValidation type="custom" allowBlank="1" showInputMessage="1" showErrorMessage="1" sqref="H1:H1048576" xr:uid="{2F74E72D-8E14-44D4-903F-2359FED82976}">
      <formula1>IF(G1="1.1.1","A",IF(G1="1.4.3","AA",""))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E7C356D-AC81-47B6-BD11-F48404C2DEAC}">
          <x14:formula1>
            <xm:f>'Data &amp; Chart'!$D$89:$J$89</xm:f>
          </x14:formula1>
          <xm:sqref>K1:K1048576</xm:sqref>
        </x14:dataValidation>
        <x14:dataValidation type="list" allowBlank="1" showInputMessage="1" showErrorMessage="1" xr:uid="{0CD7367B-2CA3-46C4-AC69-5FFB1D2F160F}">
          <x14:formula1>
            <xm:f>'Data &amp; Chart'!$D$59:$G$59</xm:f>
          </x14:formula1>
          <xm:sqref>I1:I1048576</xm:sqref>
        </x14:dataValidation>
        <x14:dataValidation type="list" allowBlank="1" showInputMessage="1" showErrorMessage="1" xr:uid="{2FD54172-B614-4833-9814-1F8636796CDB}">
          <x14:formula1>
            <xm:f>'Data &amp; Chart'!#REF!</xm:f>
          </x14:formula1>
          <xm:sqref>G1:G1048576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Data &amp; Chart</vt:lpstr>
      <vt:lpstr>Scope &amp; Enviornment</vt:lpstr>
      <vt:lpstr>Execution Summary</vt:lpstr>
      <vt:lpstr>Temp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Jain, Ashish</dc:creator>
  <cp:keywords/>
  <dc:description/>
  <cp:lastModifiedBy>KHUSHWANT PARIHAR</cp:lastModifiedBy>
  <cp:revision/>
  <dcterms:created xsi:type="dcterms:W3CDTF">2022-05-30T04:57:01Z</dcterms:created>
  <dcterms:modified xsi:type="dcterms:W3CDTF">2023-07-04T09:32:26Z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e1e58c1-766d-4ff4-9619-b604fc37898b_Enabled">
    <vt:lpwstr>true</vt:lpwstr>
  </property>
  <property fmtid="{D5CDD505-2E9C-101B-9397-08002B2CF9AE}" pid="3" name="MSIP_Label_9e1e58c1-766d-4ff4-9619-b604fc37898b_SetDate">
    <vt:lpwstr>2023-02-17T10:20:04Z</vt:lpwstr>
  </property>
  <property fmtid="{D5CDD505-2E9C-101B-9397-08002B2CF9AE}" pid="4" name="MSIP_Label_9e1e58c1-766d-4ff4-9619-b604fc37898b_Method">
    <vt:lpwstr>Standard</vt:lpwstr>
  </property>
  <property fmtid="{D5CDD505-2E9C-101B-9397-08002B2CF9AE}" pid="5" name="MSIP_Label_9e1e58c1-766d-4ff4-9619-b604fc37898b_Name">
    <vt:lpwstr>Internal Use</vt:lpwstr>
  </property>
  <property fmtid="{D5CDD505-2E9C-101B-9397-08002B2CF9AE}" pid="6" name="MSIP_Label_9e1e58c1-766d-4ff4-9619-b604fc37898b_SiteId">
    <vt:lpwstr>e3ff91d8-34c8-4b15-a0b4-18910a6ac575</vt:lpwstr>
  </property>
  <property fmtid="{D5CDD505-2E9C-101B-9397-08002B2CF9AE}" pid="7" name="MSIP_Label_9e1e58c1-766d-4ff4-9619-b604fc37898b_ActionId">
    <vt:lpwstr>d777e72d-bdbc-4b06-934a-6a8ed7fd02c4</vt:lpwstr>
  </property>
  <property fmtid="{D5CDD505-2E9C-101B-9397-08002B2CF9AE}" pid="8" name="MSIP_Label_9e1e58c1-766d-4ff4-9619-b604fc37898b_ContentBits">
    <vt:lpwstr>0</vt:lpwstr>
  </property>
  <property fmtid="{D5CDD505-2E9C-101B-9397-08002B2CF9AE}" pid="9" name="MSIP_Label_defa4170-0d19-0005-0004-bc88714345d2_Enabled">
    <vt:lpwstr>true</vt:lpwstr>
  </property>
  <property fmtid="{D5CDD505-2E9C-101B-9397-08002B2CF9AE}" pid="10" name="MSIP_Label_defa4170-0d19-0005-0004-bc88714345d2_SetDate">
    <vt:lpwstr>2023-03-02T11:58:05Z</vt:lpwstr>
  </property>
  <property fmtid="{D5CDD505-2E9C-101B-9397-08002B2CF9AE}" pid="11" name="MSIP_Label_defa4170-0d19-0005-0004-bc88714345d2_Method">
    <vt:lpwstr>Standard</vt:lpwstr>
  </property>
  <property fmtid="{D5CDD505-2E9C-101B-9397-08002B2CF9AE}" pid="12" name="MSIP_Label_defa4170-0d19-0005-0004-bc88714345d2_Name">
    <vt:lpwstr>defa4170-0d19-0005-0004-bc88714345d2</vt:lpwstr>
  </property>
  <property fmtid="{D5CDD505-2E9C-101B-9397-08002B2CF9AE}" pid="13" name="MSIP_Label_defa4170-0d19-0005-0004-bc88714345d2_SiteId">
    <vt:lpwstr>9831da1d-5b64-4c30-a284-da88b8bf4d2a</vt:lpwstr>
  </property>
  <property fmtid="{D5CDD505-2E9C-101B-9397-08002B2CF9AE}" pid="14" name="MSIP_Label_defa4170-0d19-0005-0004-bc88714345d2_ActionId">
    <vt:lpwstr>afd77a6f-3792-4d27-887b-445f65504f1b</vt:lpwstr>
  </property>
  <property fmtid="{D5CDD505-2E9C-101B-9397-08002B2CF9AE}" pid="15" name="MSIP_Label_defa4170-0d19-0005-0004-bc88714345d2_ContentBits">
    <vt:lpwstr>0</vt:lpwstr>
  </property>
</Properties>
</file>